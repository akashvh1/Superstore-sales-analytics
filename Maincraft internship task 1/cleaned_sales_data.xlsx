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ASH\Desktop\task 1\"/>
    </mc:Choice>
  </mc:AlternateContent>
  <bookViews>
    <workbookView xWindow="0" yWindow="0" windowWidth="20490" windowHeight="7650" tabRatio="500"/>
  </bookViews>
  <sheets>
    <sheet name="Cleaned Data" sheetId="1" r:id="rId1"/>
    <sheet name="Summary Metrics" sheetId="2" r:id="rId2"/>
    <sheet name="Sales by Region" sheetId="3" r:id="rId3"/>
    <sheet name="Profit by Category" sheetId="4" r:id="rId4"/>
    <sheet name="Sales by Month" sheetId="5" r:id="rId5"/>
    <sheet name="Top 10 Customers" sheetId="6" r:id="rId6"/>
    <sheet name="Top 5 Products" sheetId="7" r:id="rId7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6" l="1"/>
  <c r="C4" i="6" s="1"/>
  <c r="B5" i="6"/>
  <c r="C5" i="6"/>
  <c r="B6" i="6"/>
  <c r="C6" i="6" s="1"/>
  <c r="F13" i="6" s="1"/>
  <c r="B7" i="6"/>
  <c r="C7" i="6" s="1"/>
  <c r="B8" i="6"/>
  <c r="C8" i="6" s="1"/>
  <c r="B9" i="6"/>
  <c r="C9" i="6" s="1"/>
  <c r="B10" i="6"/>
  <c r="C10" i="6" s="1"/>
  <c r="B11" i="6"/>
  <c r="C11" i="6" s="1"/>
  <c r="B12" i="6"/>
  <c r="C12" i="6" s="1"/>
  <c r="B13" i="6"/>
  <c r="C13" i="6" s="1"/>
  <c r="B14" i="6"/>
  <c r="C14" i="6" s="1"/>
  <c r="B15" i="6"/>
  <c r="C15" i="6" s="1"/>
  <c r="B16" i="6"/>
  <c r="C16" i="6" s="1"/>
  <c r="B17" i="6"/>
  <c r="C17" i="6" s="1"/>
  <c r="B18" i="6"/>
  <c r="C18" i="6" s="1"/>
  <c r="B19" i="6"/>
  <c r="C19" i="6"/>
  <c r="B20" i="6"/>
  <c r="C20" i="6" s="1"/>
  <c r="B21" i="6"/>
  <c r="C21" i="6"/>
  <c r="B22" i="6"/>
  <c r="C22" i="6" s="1"/>
  <c r="B23" i="6"/>
  <c r="C23" i="6" s="1"/>
  <c r="B24" i="6"/>
  <c r="C24" i="6" s="1"/>
  <c r="B25" i="6"/>
  <c r="C25" i="6" s="1"/>
  <c r="B26" i="6"/>
  <c r="C26" i="6" s="1"/>
  <c r="B27" i="6"/>
  <c r="C27" i="6" s="1"/>
  <c r="B28" i="6"/>
  <c r="C28" i="6" s="1"/>
  <c r="B29" i="6"/>
  <c r="C29" i="6" s="1"/>
  <c r="B30" i="6"/>
  <c r="C30" i="6" s="1"/>
  <c r="B31" i="6"/>
  <c r="C31" i="6" s="1"/>
  <c r="B32" i="6"/>
  <c r="C32" i="6" s="1"/>
  <c r="B33" i="6"/>
  <c r="C33" i="6" s="1"/>
  <c r="B34" i="6"/>
  <c r="C34" i="6" s="1"/>
  <c r="B35" i="6"/>
  <c r="C35" i="6"/>
  <c r="B36" i="6"/>
  <c r="C36" i="6" s="1"/>
  <c r="B37" i="6"/>
  <c r="C37" i="6"/>
  <c r="B38" i="6"/>
  <c r="C38" i="6" s="1"/>
  <c r="B39" i="6"/>
  <c r="C39" i="6" s="1"/>
  <c r="B40" i="6"/>
  <c r="C40" i="6" s="1"/>
  <c r="B41" i="6"/>
  <c r="C41" i="6" s="1"/>
  <c r="B42" i="6"/>
  <c r="C42" i="6" s="1"/>
  <c r="B43" i="6"/>
  <c r="C43" i="6" s="1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B50" i="6"/>
  <c r="C50" i="6" s="1"/>
  <c r="B51" i="6"/>
  <c r="C51" i="6"/>
  <c r="B52" i="6"/>
  <c r="C52" i="6" s="1"/>
  <c r="B53" i="6"/>
  <c r="C53" i="6" s="1"/>
  <c r="B54" i="6"/>
  <c r="C54" i="6" s="1"/>
  <c r="B55" i="6"/>
  <c r="C55" i="6" s="1"/>
  <c r="B56" i="6"/>
  <c r="C56" i="6" s="1"/>
  <c r="B57" i="6"/>
  <c r="C57" i="6" s="1"/>
  <c r="B58" i="6"/>
  <c r="C58" i="6" s="1"/>
  <c r="B59" i="6"/>
  <c r="C59" i="6" s="1"/>
  <c r="B60" i="6"/>
  <c r="C60" i="6" s="1"/>
  <c r="B61" i="6"/>
  <c r="C61" i="6"/>
  <c r="B62" i="6"/>
  <c r="C62" i="6" s="1"/>
  <c r="B63" i="6"/>
  <c r="C63" i="6" s="1"/>
  <c r="B64" i="6"/>
  <c r="C64" i="6" s="1"/>
  <c r="B65" i="6"/>
  <c r="C65" i="6" s="1"/>
  <c r="B66" i="6"/>
  <c r="C66" i="6" s="1"/>
  <c r="B67" i="6"/>
  <c r="C67" i="6"/>
  <c r="B68" i="6"/>
  <c r="C68" i="6" s="1"/>
  <c r="B69" i="6"/>
  <c r="C69" i="6" s="1"/>
  <c r="B70" i="6"/>
  <c r="C70" i="6" s="1"/>
  <c r="B71" i="6"/>
  <c r="C71" i="6" s="1"/>
  <c r="B72" i="6"/>
  <c r="C72" i="6" s="1"/>
  <c r="B73" i="6"/>
  <c r="C73" i="6" s="1"/>
  <c r="B74" i="6"/>
  <c r="C74" i="6" s="1"/>
  <c r="B75" i="6"/>
  <c r="C75" i="6" s="1"/>
  <c r="B76" i="6"/>
  <c r="C76" i="6" s="1"/>
  <c r="B77" i="6"/>
  <c r="C77" i="6"/>
  <c r="B78" i="6"/>
  <c r="C78" i="6" s="1"/>
  <c r="B79" i="6"/>
  <c r="C79" i="6" s="1"/>
  <c r="B80" i="6"/>
  <c r="C80" i="6" s="1"/>
  <c r="B81" i="6"/>
  <c r="C81" i="6" s="1"/>
  <c r="B82" i="6"/>
  <c r="C82" i="6" s="1"/>
  <c r="B83" i="6"/>
  <c r="C83" i="6"/>
  <c r="B84" i="6"/>
  <c r="C84" i="6" s="1"/>
  <c r="B85" i="6"/>
  <c r="C85" i="6" s="1"/>
  <c r="B86" i="6"/>
  <c r="C86" i="6" s="1"/>
  <c r="B87" i="6"/>
  <c r="C87" i="6" s="1"/>
  <c r="B88" i="6"/>
  <c r="C88" i="6" s="1"/>
  <c r="B89" i="6"/>
  <c r="C89" i="6" s="1"/>
  <c r="B90" i="6"/>
  <c r="C90" i="6" s="1"/>
  <c r="B91" i="6"/>
  <c r="C91" i="6" s="1"/>
  <c r="B92" i="6"/>
  <c r="C92" i="6" s="1"/>
  <c r="B93" i="6"/>
  <c r="C93" i="6"/>
  <c r="B94" i="6"/>
  <c r="C94" i="6" s="1"/>
  <c r="B95" i="6"/>
  <c r="C95" i="6" s="1"/>
  <c r="B96" i="6"/>
  <c r="C96" i="6" s="1"/>
  <c r="B97" i="6"/>
  <c r="C97" i="6" s="1"/>
  <c r="B98" i="6"/>
  <c r="C98" i="6" s="1"/>
  <c r="B99" i="6"/>
  <c r="C99" i="6"/>
  <c r="B100" i="6"/>
  <c r="C100" i="6" s="1"/>
  <c r="B101" i="6"/>
  <c r="C101" i="6" s="1"/>
  <c r="B102" i="6"/>
  <c r="C102" i="6" s="1"/>
  <c r="B103" i="6"/>
  <c r="C103" i="6" s="1"/>
  <c r="B104" i="6"/>
  <c r="C104" i="6" s="1"/>
  <c r="B105" i="6"/>
  <c r="C105" i="6" s="1"/>
  <c r="B106" i="6"/>
  <c r="C106" i="6" s="1"/>
  <c r="B107" i="6"/>
  <c r="C107" i="6" s="1"/>
  <c r="B108" i="6"/>
  <c r="C108" i="6" s="1"/>
  <c r="B109" i="6"/>
  <c r="C109" i="6"/>
  <c r="B110" i="6"/>
  <c r="C110" i="6" s="1"/>
  <c r="B111" i="6"/>
  <c r="C111" i="6" s="1"/>
  <c r="B112" i="6"/>
  <c r="C112" i="6" s="1"/>
  <c r="B113" i="6"/>
  <c r="C113" i="6" s="1"/>
  <c r="B114" i="6"/>
  <c r="C114" i="6" s="1"/>
  <c r="B115" i="6"/>
  <c r="C115" i="6"/>
  <c r="B116" i="6"/>
  <c r="C116" i="6" s="1"/>
  <c r="B117" i="6"/>
  <c r="C117" i="6" s="1"/>
  <c r="B118" i="6"/>
  <c r="C118" i="6" s="1"/>
  <c r="B119" i="6"/>
  <c r="C119" i="6" s="1"/>
  <c r="B120" i="6"/>
  <c r="C120" i="6" s="1"/>
  <c r="B121" i="6"/>
  <c r="C121" i="6" s="1"/>
  <c r="B122" i="6"/>
  <c r="C122" i="6" s="1"/>
  <c r="B123" i="6"/>
  <c r="C123" i="6" s="1"/>
  <c r="B124" i="6"/>
  <c r="C124" i="6" s="1"/>
  <c r="B125" i="6"/>
  <c r="C125" i="6"/>
  <c r="B126" i="6"/>
  <c r="C126" i="6" s="1"/>
  <c r="B127" i="6"/>
  <c r="C127" i="6" s="1"/>
  <c r="B128" i="6"/>
  <c r="C128" i="6" s="1"/>
  <c r="B129" i="6"/>
  <c r="C129" i="6" s="1"/>
  <c r="B130" i="6"/>
  <c r="C130" i="6" s="1"/>
  <c r="B131" i="6"/>
  <c r="C131" i="6"/>
  <c r="B132" i="6"/>
  <c r="C132" i="6" s="1"/>
  <c r="B133" i="6"/>
  <c r="C133" i="6" s="1"/>
  <c r="B134" i="6"/>
  <c r="C134" i="6" s="1"/>
  <c r="B135" i="6"/>
  <c r="C135" i="6" s="1"/>
  <c r="B136" i="6"/>
  <c r="C136" i="6" s="1"/>
  <c r="B137" i="6"/>
  <c r="C137" i="6" s="1"/>
  <c r="B138" i="6"/>
  <c r="C138" i="6" s="1"/>
  <c r="B139" i="6"/>
  <c r="C139" i="6" s="1"/>
  <c r="B140" i="6"/>
  <c r="C140" i="6" s="1"/>
  <c r="B141" i="6"/>
  <c r="C141" i="6"/>
  <c r="B142" i="6"/>
  <c r="C142" i="6" s="1"/>
  <c r="B143" i="6"/>
  <c r="C143" i="6" s="1"/>
  <c r="B144" i="6"/>
  <c r="C144" i="6" s="1"/>
  <c r="B145" i="6"/>
  <c r="C145" i="6" s="1"/>
  <c r="B146" i="6"/>
  <c r="C146" i="6" s="1"/>
  <c r="B147" i="6"/>
  <c r="C147" i="6"/>
  <c r="B148" i="6"/>
  <c r="C148" i="6" s="1"/>
  <c r="B149" i="6"/>
  <c r="C149" i="6" s="1"/>
  <c r="B150" i="6"/>
  <c r="C150" i="6" s="1"/>
  <c r="B151" i="6"/>
  <c r="C151" i="6" s="1"/>
  <c r="B152" i="6"/>
  <c r="C152" i="6" s="1"/>
  <c r="B153" i="6"/>
  <c r="C153" i="6" s="1"/>
  <c r="B154" i="6"/>
  <c r="C154" i="6" s="1"/>
  <c r="B155" i="6"/>
  <c r="C155" i="6" s="1"/>
  <c r="B156" i="6"/>
  <c r="C156" i="6" s="1"/>
  <c r="B157" i="6"/>
  <c r="C157" i="6" s="1"/>
  <c r="B158" i="6"/>
  <c r="C158" i="6" s="1"/>
  <c r="B159" i="6"/>
  <c r="C159" i="6" s="1"/>
  <c r="B160" i="6"/>
  <c r="C160" i="6" s="1"/>
  <c r="B161" i="6"/>
  <c r="C161" i="6" s="1"/>
  <c r="B162" i="6"/>
  <c r="C162" i="6" s="1"/>
  <c r="B163" i="6"/>
  <c r="C163" i="6" s="1"/>
  <c r="B164" i="6"/>
  <c r="C164" i="6" s="1"/>
  <c r="B165" i="6"/>
  <c r="C165" i="6" s="1"/>
  <c r="B166" i="6"/>
  <c r="C166" i="6" s="1"/>
  <c r="B167" i="6"/>
  <c r="C167" i="6" s="1"/>
  <c r="B168" i="6"/>
  <c r="C168" i="6" s="1"/>
  <c r="B169" i="6"/>
  <c r="C169" i="6" s="1"/>
  <c r="B170" i="6"/>
  <c r="C170" i="6" s="1"/>
  <c r="B171" i="6"/>
  <c r="C171" i="6"/>
  <c r="B172" i="6"/>
  <c r="C172" i="6" s="1"/>
  <c r="B173" i="6"/>
  <c r="C173" i="6" s="1"/>
  <c r="B174" i="6"/>
  <c r="C174" i="6" s="1"/>
  <c r="B175" i="6"/>
  <c r="C175" i="6" s="1"/>
  <c r="B176" i="6"/>
  <c r="C176" i="6" s="1"/>
  <c r="B177" i="6"/>
  <c r="C177" i="6" s="1"/>
  <c r="B178" i="6"/>
  <c r="C178" i="6" s="1"/>
  <c r="B179" i="6"/>
  <c r="C179" i="6" s="1"/>
  <c r="B180" i="6"/>
  <c r="C180" i="6" s="1"/>
  <c r="B181" i="6"/>
  <c r="C181" i="6" s="1"/>
  <c r="B182" i="6"/>
  <c r="C182" i="6" s="1"/>
  <c r="B183" i="6"/>
  <c r="C183" i="6" s="1"/>
  <c r="B184" i="6"/>
  <c r="C184" i="6" s="1"/>
  <c r="B185" i="6"/>
  <c r="C185" i="6" s="1"/>
  <c r="B186" i="6"/>
  <c r="C186" i="6" s="1"/>
  <c r="B187" i="6"/>
  <c r="C187" i="6" s="1"/>
  <c r="B188" i="6"/>
  <c r="C188" i="6" s="1"/>
  <c r="B189" i="6"/>
  <c r="C189" i="6" s="1"/>
  <c r="B190" i="6"/>
  <c r="C190" i="6" s="1"/>
  <c r="B191" i="6"/>
  <c r="C191" i="6" s="1"/>
  <c r="B192" i="6"/>
  <c r="C192" i="6" s="1"/>
  <c r="B193" i="6"/>
  <c r="C193" i="6" s="1"/>
  <c r="B194" i="6"/>
  <c r="C194" i="6" s="1"/>
  <c r="B195" i="6"/>
  <c r="C195" i="6" s="1"/>
  <c r="B196" i="6"/>
  <c r="C196" i="6" s="1"/>
  <c r="B197" i="6"/>
  <c r="C197" i="6" s="1"/>
  <c r="B198" i="6"/>
  <c r="C198" i="6" s="1"/>
  <c r="B199" i="6"/>
  <c r="C199" i="6" s="1"/>
  <c r="B200" i="6"/>
  <c r="C200" i="6" s="1"/>
  <c r="B201" i="6"/>
  <c r="C201" i="6" s="1"/>
  <c r="B202" i="6"/>
  <c r="C202" i="6" s="1"/>
  <c r="B203" i="6"/>
  <c r="C203" i="6" s="1"/>
  <c r="B204" i="6"/>
  <c r="C204" i="6" s="1"/>
  <c r="B205" i="6"/>
  <c r="C205" i="6" s="1"/>
  <c r="B206" i="6"/>
  <c r="C206" i="6" s="1"/>
  <c r="B207" i="6"/>
  <c r="C207" i="6" s="1"/>
  <c r="B208" i="6"/>
  <c r="C208" i="6" s="1"/>
  <c r="B209" i="6"/>
  <c r="C209" i="6" s="1"/>
  <c r="B210" i="6"/>
  <c r="C210" i="6" s="1"/>
  <c r="B211" i="6"/>
  <c r="C211" i="6" s="1"/>
  <c r="B212" i="6"/>
  <c r="C212" i="6" s="1"/>
  <c r="B213" i="6"/>
  <c r="C213" i="6" s="1"/>
  <c r="B214" i="6"/>
  <c r="C214" i="6" s="1"/>
  <c r="B215" i="6"/>
  <c r="C215" i="6" s="1"/>
  <c r="B216" i="6"/>
  <c r="C216" i="6" s="1"/>
  <c r="B217" i="6"/>
  <c r="C217" i="6" s="1"/>
  <c r="B218" i="6"/>
  <c r="C218" i="6" s="1"/>
  <c r="B219" i="6"/>
  <c r="C219" i="6" s="1"/>
  <c r="B220" i="6"/>
  <c r="C220" i="6" s="1"/>
  <c r="B221" i="6"/>
  <c r="C221" i="6" s="1"/>
  <c r="B222" i="6"/>
  <c r="C222" i="6" s="1"/>
  <c r="B223" i="6"/>
  <c r="C223" i="6" s="1"/>
  <c r="B224" i="6"/>
  <c r="C224" i="6" s="1"/>
  <c r="B225" i="6"/>
  <c r="C225" i="6" s="1"/>
  <c r="B226" i="6"/>
  <c r="C226" i="6" s="1"/>
  <c r="B227" i="6"/>
  <c r="C227" i="6" s="1"/>
  <c r="G13" i="6" l="1"/>
  <c r="G14" i="6"/>
  <c r="G5" i="6"/>
  <c r="G7" i="6"/>
  <c r="G9" i="6"/>
  <c r="G11" i="6"/>
  <c r="F6" i="6"/>
  <c r="F8" i="6"/>
  <c r="F10" i="6"/>
  <c r="F12" i="6"/>
  <c r="F14" i="6"/>
  <c r="F5" i="6"/>
  <c r="F7" i="6"/>
  <c r="F9" i="6"/>
  <c r="F11" i="6"/>
  <c r="G6" i="6"/>
  <c r="G8" i="6"/>
  <c r="G10" i="6"/>
  <c r="G12" i="6"/>
  <c r="B4" i="7"/>
  <c r="C4" i="7" s="1"/>
  <c r="B5" i="7"/>
  <c r="C5" i="7" s="1"/>
  <c r="B6" i="7"/>
  <c r="C6" i="7" s="1"/>
  <c r="B7" i="7"/>
  <c r="C7" i="7" s="1"/>
  <c r="B8" i="7"/>
  <c r="C8" i="7" s="1"/>
  <c r="B9" i="7"/>
  <c r="C9" i="7" s="1"/>
  <c r="B10" i="7"/>
  <c r="C10" i="7" s="1"/>
  <c r="B11" i="7"/>
  <c r="C11" i="7" s="1"/>
  <c r="B12" i="7"/>
  <c r="C12" i="7" s="1"/>
  <c r="B13" i="7"/>
  <c r="C13" i="7" s="1"/>
  <c r="B14" i="7"/>
  <c r="C14" i="7" s="1"/>
  <c r="B15" i="7"/>
  <c r="C15" i="7" s="1"/>
  <c r="B16" i="7"/>
  <c r="C16" i="7" s="1"/>
  <c r="B17" i="7"/>
  <c r="C17" i="7" s="1"/>
  <c r="B18" i="7"/>
  <c r="C18" i="7" s="1"/>
  <c r="B19" i="7"/>
  <c r="C19" i="7" s="1"/>
  <c r="B20" i="7"/>
  <c r="C20" i="7" s="1"/>
  <c r="B21" i="7"/>
  <c r="C21" i="7" s="1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B6" i="4"/>
  <c r="C6" i="4"/>
  <c r="D6" i="4"/>
  <c r="B5" i="4"/>
  <c r="C5" i="4"/>
  <c r="D5" i="4"/>
  <c r="B4" i="4"/>
  <c r="C4" i="4"/>
  <c r="D4" i="4"/>
  <c r="D7" i="3"/>
  <c r="C7" i="3"/>
  <c r="B7" i="3"/>
  <c r="D6" i="3"/>
  <c r="C6" i="3"/>
  <c r="B6" i="3"/>
  <c r="D5" i="3"/>
  <c r="C5" i="3"/>
  <c r="B5" i="3"/>
  <c r="D4" i="3"/>
  <c r="C4" i="3"/>
  <c r="B4" i="3"/>
  <c r="B8" i="2"/>
  <c r="B7" i="2"/>
  <c r="B6" i="2"/>
  <c r="B5" i="2"/>
  <c r="B4" i="2"/>
  <c r="B29" i="7" l="1"/>
  <c r="B27" i="7"/>
  <c r="B25" i="7"/>
  <c r="C28" i="7"/>
  <c r="C26" i="7"/>
  <c r="B28" i="7"/>
  <c r="B26" i="7"/>
  <c r="C29" i="7"/>
  <c r="C27" i="7"/>
  <c r="C25" i="7"/>
</calcChain>
</file>

<file path=xl/sharedStrings.xml><?xml version="1.0" encoding="utf-8"?>
<sst xmlns="http://schemas.openxmlformats.org/spreadsheetml/2006/main" count="1905" uniqueCount="601">
  <si>
    <t>Order ID</t>
  </si>
  <si>
    <t>Order Date</t>
  </si>
  <si>
    <t>Customer Name</t>
  </si>
  <si>
    <t>Region</t>
  </si>
  <si>
    <t>Category</t>
  </si>
  <si>
    <t>Product Name</t>
  </si>
  <si>
    <t>Sales</t>
  </si>
  <si>
    <t>Quantity</t>
  </si>
  <si>
    <t>Profit</t>
  </si>
  <si>
    <t>Discount</t>
  </si>
  <si>
    <t>ORD-1243</t>
  </si>
  <si>
    <t>Sneha Mehta</t>
  </si>
  <si>
    <t>South</t>
  </si>
  <si>
    <t>Office Supplies</t>
  </si>
  <si>
    <t>Sticky Notes</t>
  </si>
  <si>
    <t>ORD-1077</t>
  </si>
  <si>
    <t>Gaurav Nair</t>
  </si>
  <si>
    <t>North</t>
  </si>
  <si>
    <t>ORD-1135</t>
  </si>
  <si>
    <t>Vikram Mehta</t>
  </si>
  <si>
    <t>Notebook Pack</t>
  </si>
  <si>
    <t>ORD-1205</t>
  </si>
  <si>
    <t>Swati Sharma</t>
  </si>
  <si>
    <t>Technology</t>
  </si>
  <si>
    <t>Webcam HD</t>
  </si>
  <si>
    <t>ORD-1026</t>
  </si>
  <si>
    <t>Preeti Rao</t>
  </si>
  <si>
    <t>Furniture</t>
  </si>
  <si>
    <t>Sofa Set</t>
  </si>
  <si>
    <t>ORD-1061</t>
  </si>
  <si>
    <t>Neha Nair</t>
  </si>
  <si>
    <t>ORD-1166</t>
  </si>
  <si>
    <t>Deepak Nair</t>
  </si>
  <si>
    <t>ORD-1308</t>
  </si>
  <si>
    <t>Suresh Rao</t>
  </si>
  <si>
    <t>Laptop Stand</t>
  </si>
  <si>
    <t>ORD-1190</t>
  </si>
  <si>
    <t>Meera Sharma</t>
  </si>
  <si>
    <t>West</t>
  </si>
  <si>
    <t>Bluetooth Speaker</t>
  </si>
  <si>
    <t>ORD-1016</t>
  </si>
  <si>
    <t>Meera Verma</t>
  </si>
  <si>
    <t>East</t>
  </si>
  <si>
    <t>Office Chair</t>
  </si>
  <si>
    <t>ORD-1296</t>
  </si>
  <si>
    <t>Ananya Gupta</t>
  </si>
  <si>
    <t>Furniture - Unspecified</t>
  </si>
  <si>
    <t>ORD-1140</t>
  </si>
  <si>
    <t>Reyansh Singh</t>
  </si>
  <si>
    <t>ORD-1281</t>
  </si>
  <si>
    <t>Neha Singh</t>
  </si>
  <si>
    <t>Desk Organizer</t>
  </si>
  <si>
    <t>ORD-1028</t>
  </si>
  <si>
    <t>Anjali Nair</t>
  </si>
  <si>
    <t>Stapler</t>
  </si>
  <si>
    <t>ORD-1138</t>
  </si>
  <si>
    <t>Varun Singh</t>
  </si>
  <si>
    <t>ORD-1261</t>
  </si>
  <si>
    <t>Aarav Patel</t>
  </si>
  <si>
    <t>Wireless Mouse</t>
  </si>
  <si>
    <t>ORD-1159</t>
  </si>
  <si>
    <t>Rohan Verma</t>
  </si>
  <si>
    <t>ORD-1307</t>
  </si>
  <si>
    <t>Vihaan Gupta</t>
  </si>
  <si>
    <t>ORD-1274</t>
  </si>
  <si>
    <t>Aditya Singh</t>
  </si>
  <si>
    <t>Study Table</t>
  </si>
  <si>
    <t>ORD-1124</t>
  </si>
  <si>
    <t>Manish Mehta</t>
  </si>
  <si>
    <t>ORD-1315</t>
  </si>
  <si>
    <t>Ishita Singh</t>
  </si>
  <si>
    <t>USB Hub</t>
  </si>
  <si>
    <t>ORD-1083</t>
  </si>
  <si>
    <t>Aditya Reddy</t>
  </si>
  <si>
    <t>ORD-1113</t>
  </si>
  <si>
    <t>Ritu Mehta</t>
  </si>
  <si>
    <t>ORD-1278</t>
  </si>
  <si>
    <t>Vihaan Nair</t>
  </si>
  <si>
    <t>ORD-1187</t>
  </si>
  <si>
    <t>Sanjay Mehta</t>
  </si>
  <si>
    <t>Printer Paper</t>
  </si>
  <si>
    <t>ORD-1063</t>
  </si>
  <si>
    <t>Ritu Singh</t>
  </si>
  <si>
    <t>ORD-1242</t>
  </si>
  <si>
    <t>ORD-1115</t>
  </si>
  <si>
    <t>Vihaan Singh</t>
  </si>
  <si>
    <t>ORD-1005</t>
  </si>
  <si>
    <t>Meera Nair</t>
  </si>
  <si>
    <t>ORD-1184</t>
  </si>
  <si>
    <t>Arjun Mehta</t>
  </si>
  <si>
    <t>ORD-1255</t>
  </si>
  <si>
    <t>Anjali Gupta</t>
  </si>
  <si>
    <t>ORD-1149</t>
  </si>
  <si>
    <t>ORD-1055</t>
  </si>
  <si>
    <t>Sneha Patel</t>
  </si>
  <si>
    <t>ORD-1180</t>
  </si>
  <si>
    <t>Gaurav Reddy</t>
  </si>
  <si>
    <t>ORD-1206</t>
  </si>
  <si>
    <t>Neha Verma</t>
  </si>
  <si>
    <t>ORD-1019</t>
  </si>
  <si>
    <t>Vikram Rao</t>
  </si>
  <si>
    <t>ORD-1134</t>
  </si>
  <si>
    <t>Vihaan Reddy</t>
  </si>
  <si>
    <t>ORD-1283</t>
  </si>
  <si>
    <t>ORD-1080</t>
  </si>
  <si>
    <t>Diya Singh</t>
  </si>
  <si>
    <t>Bookcase</t>
  </si>
  <si>
    <t>ORD-1272</t>
  </si>
  <si>
    <t>ORD-1052</t>
  </si>
  <si>
    <t>Komal Patel</t>
  </si>
  <si>
    <t>ORD-1118</t>
  </si>
  <si>
    <t>Rohan Patel</t>
  </si>
  <si>
    <t>ORD-1051</t>
  </si>
  <si>
    <t>Karan Nair</t>
  </si>
  <si>
    <t>Filing Cabinet</t>
  </si>
  <si>
    <t>ORD-1075</t>
  </si>
  <si>
    <t>Ananya Patel</t>
  </si>
  <si>
    <t>ORD-1112</t>
  </si>
  <si>
    <t>Sanjay Rao</t>
  </si>
  <si>
    <t>ORD-1199</t>
  </si>
  <si>
    <t>Sanjay Patel</t>
  </si>
  <si>
    <t>ORD-1015</t>
  </si>
  <si>
    <t>Shreya Singh</t>
  </si>
  <si>
    <t>ORD-1074</t>
  </si>
  <si>
    <t>Vikram Singh</t>
  </si>
  <si>
    <t>ORD-1297</t>
  </si>
  <si>
    <t>ORD-1114</t>
  </si>
  <si>
    <t>Anjali Iyer</t>
  </si>
  <si>
    <t>ORD-1106</t>
  </si>
  <si>
    <t>Diya Reddy</t>
  </si>
  <si>
    <t>ORD-1318</t>
  </si>
  <si>
    <t>Swati Verma</t>
  </si>
  <si>
    <t>ORD-1151</t>
  </si>
  <si>
    <t>Pallavi Rao</t>
  </si>
  <si>
    <t>ORD-1186</t>
  </si>
  <si>
    <t>Sai Singh</t>
  </si>
  <si>
    <t>ORD-1024</t>
  </si>
  <si>
    <t>Kavya Gupta</t>
  </si>
  <si>
    <t>ORD-1139</t>
  </si>
  <si>
    <t>Komal Reddy</t>
  </si>
  <si>
    <t>ORD-1304</t>
  </si>
  <si>
    <t>Gaurav Gupta</t>
  </si>
  <si>
    <t>ORD-1233</t>
  </si>
  <si>
    <t>Suresh Mehta</t>
  </si>
  <si>
    <t>ORD-1165</t>
  </si>
  <si>
    <t>Ashok Rao</t>
  </si>
  <si>
    <t>ORD-1008</t>
  </si>
  <si>
    <t>Rohan Nair</t>
  </si>
  <si>
    <t>ORD-1299</t>
  </si>
  <si>
    <t>Ishita Gupta</t>
  </si>
  <si>
    <t>ORD-1185</t>
  </si>
  <si>
    <t>Deepak Rao</t>
  </si>
  <si>
    <t>ORD-1316</t>
  </si>
  <si>
    <t>Suresh Sharma</t>
  </si>
  <si>
    <t>ORD-1153</t>
  </si>
  <si>
    <t>Ishita Rao</t>
  </si>
  <si>
    <t>ORD-1214</t>
  </si>
  <si>
    <t>Ananya Nair</t>
  </si>
  <si>
    <t>ORD-1021</t>
  </si>
  <si>
    <t>Nisha Singh</t>
  </si>
  <si>
    <t>ORD-1111</t>
  </si>
  <si>
    <t>Sai Iyer</t>
  </si>
  <si>
    <t>ORD-1022</t>
  </si>
  <si>
    <t>Gaurav Rao</t>
  </si>
  <si>
    <t>ORD-1239</t>
  </si>
  <si>
    <t>Preeti Gupta</t>
  </si>
  <si>
    <t>ORD-1014</t>
  </si>
  <si>
    <t>Rajesh Rao</t>
  </si>
  <si>
    <t>ORD-1260</t>
  </si>
  <si>
    <t>Swati Mehta</t>
  </si>
  <si>
    <t>ORD-1203</t>
  </si>
  <si>
    <t>Karan Reddy</t>
  </si>
  <si>
    <t>ORD-1306</t>
  </si>
  <si>
    <t>Ashok Singh</t>
  </si>
  <si>
    <t>ORD-1034</t>
  </si>
  <si>
    <t>Ishita Nair</t>
  </si>
  <si>
    <t>ORD-1188</t>
  </si>
  <si>
    <t>Tanvi Gupta</t>
  </si>
  <si>
    <t>ORD-1129</t>
  </si>
  <si>
    <t>Rohan Iyer</t>
  </si>
  <si>
    <t>ORD-1143</t>
  </si>
  <si>
    <t>Anjali Mehta</t>
  </si>
  <si>
    <t>ORD-1285</t>
  </si>
  <si>
    <t>Deepak Sharma</t>
  </si>
  <si>
    <t>ORD-1229</t>
  </si>
  <si>
    <t>Ritu Iyer</t>
  </si>
  <si>
    <t>ORD-1275</t>
  </si>
  <si>
    <t>Divya Patel</t>
  </si>
  <si>
    <t>ORD-1179</t>
  </si>
  <si>
    <t>Pallavi Nair</t>
  </si>
  <si>
    <t>ORD-1191</t>
  </si>
  <si>
    <t>ORD-1168</t>
  </si>
  <si>
    <t>Deepak Verma</t>
  </si>
  <si>
    <t>ORD-1035</t>
  </si>
  <si>
    <t>Varun Mehta</t>
  </si>
  <si>
    <t>ORD-1040</t>
  </si>
  <si>
    <t>ORD-1202</t>
  </si>
  <si>
    <t>Tanvi Iyer</t>
  </si>
  <si>
    <t>Technology - Unspecified</t>
  </si>
  <si>
    <t>ORD-1065</t>
  </si>
  <si>
    <t>Preeti Verma</t>
  </si>
  <si>
    <t>ORD-1169</t>
  </si>
  <si>
    <t>Priya Rao</t>
  </si>
  <si>
    <t>ORD-1098</t>
  </si>
  <si>
    <t>Reyansh Rao</t>
  </si>
  <si>
    <t>ORD-1030</t>
  </si>
  <si>
    <t>ORD-1303</t>
  </si>
  <si>
    <t>Pooja Singh</t>
  </si>
  <si>
    <t>ORD-1020</t>
  </si>
  <si>
    <t>Swati Singh</t>
  </si>
  <si>
    <t>ORD-1025</t>
  </si>
  <si>
    <t>ORD-1104</t>
  </si>
  <si>
    <t>ORD-1183</t>
  </si>
  <si>
    <t>Preeti Patel</t>
  </si>
  <si>
    <t>ORD-1279</t>
  </si>
  <si>
    <t>Amit Sharma</t>
  </si>
  <si>
    <t>ORD-1314</t>
  </si>
  <si>
    <t>Manish Verma</t>
  </si>
  <si>
    <t>ORD-1101</t>
  </si>
  <si>
    <t>ORD-1001</t>
  </si>
  <si>
    <t>Nikhil Patel</t>
  </si>
  <si>
    <t>ORD-1091</t>
  </si>
  <si>
    <t>Reyansh Iyer</t>
  </si>
  <si>
    <t>ORD-1082</t>
  </si>
  <si>
    <t>Arjun Nair</t>
  </si>
  <si>
    <t>ORD-1302</t>
  </si>
  <si>
    <t>ORD-1209</t>
  </si>
  <si>
    <t>Shreya Sharma</t>
  </si>
  <si>
    <t>ORD-1007</t>
  </si>
  <si>
    <t>Sneha Sharma</t>
  </si>
  <si>
    <t>ORD-1193</t>
  </si>
  <si>
    <t>ORD-1268</t>
  </si>
  <si>
    <t>ORD-1291</t>
  </si>
  <si>
    <t>Tanvi Nair</t>
  </si>
  <si>
    <t>ORD-1013</t>
  </si>
  <si>
    <t>Akash Nair</t>
  </si>
  <si>
    <t>ORD-1251</t>
  </si>
  <si>
    <t>Sneha Iyer</t>
  </si>
  <si>
    <t>ORD-1241</t>
  </si>
  <si>
    <t>Priya Iyer</t>
  </si>
  <si>
    <t>ORD-1069</t>
  </si>
  <si>
    <t>ORD-1222</t>
  </si>
  <si>
    <t>Rahul Patel</t>
  </si>
  <si>
    <t>ORD-1197</t>
  </si>
  <si>
    <t>Varun Patel</t>
  </si>
  <si>
    <t>ORD-1287</t>
  </si>
  <si>
    <t>Reyansh Reddy</t>
  </si>
  <si>
    <t>ORD-1312</t>
  </si>
  <si>
    <t>Swati Nair</t>
  </si>
  <si>
    <t>ORD-1273</t>
  </si>
  <si>
    <t>Komal Mehta</t>
  </si>
  <si>
    <t>ORD-1289</t>
  </si>
  <si>
    <t>ORD-1238</t>
  </si>
  <si>
    <t>ORD-1294</t>
  </si>
  <si>
    <t>ORD-1100</t>
  </si>
  <si>
    <t>Vihaan Iyer</t>
  </si>
  <si>
    <t>ORD-1270</t>
  </si>
  <si>
    <t>Rahul Singh</t>
  </si>
  <si>
    <t>ORD-1181</t>
  </si>
  <si>
    <t>Arjun Singh</t>
  </si>
  <si>
    <t>ORD-1059</t>
  </si>
  <si>
    <t>Divya Singh</t>
  </si>
  <si>
    <t>ORD-1215</t>
  </si>
  <si>
    <t>Vikram Reddy</t>
  </si>
  <si>
    <t>ORD-1259</t>
  </si>
  <si>
    <t>Manish Gupta</t>
  </si>
  <si>
    <t>ORD-1046</t>
  </si>
  <si>
    <t>Swati Patel</t>
  </si>
  <si>
    <t>ORD-1090</t>
  </si>
  <si>
    <t>Shreya Rao</t>
  </si>
  <si>
    <t>ORD-1194</t>
  </si>
  <si>
    <t>Suresh Nair</t>
  </si>
  <si>
    <t>ORD-1246</t>
  </si>
  <si>
    <t>Rahul Iyer</t>
  </si>
  <si>
    <t>ORD-1060</t>
  </si>
  <si>
    <t>Sanjay Singh</t>
  </si>
  <si>
    <t>ORD-1230</t>
  </si>
  <si>
    <t>ORD-1276</t>
  </si>
  <si>
    <t>Sai Verma</t>
  </si>
  <si>
    <t>ORD-1161</t>
  </si>
  <si>
    <t>Sai Sharma</t>
  </si>
  <si>
    <t>ORD-1062</t>
  </si>
  <si>
    <t>Aarav Mehta</t>
  </si>
  <si>
    <t>ORD-1171</t>
  </si>
  <si>
    <t>ORD-1085</t>
  </si>
  <si>
    <t>Aarav Singh</t>
  </si>
  <si>
    <t>ORD-1240</t>
  </si>
  <si>
    <t>Sneha Nair</t>
  </si>
  <si>
    <t>ORD-1264</t>
  </si>
  <si>
    <t>Akash Patel</t>
  </si>
  <si>
    <t>ORD-1011</t>
  </si>
  <si>
    <t>ORD-1313</t>
  </si>
  <si>
    <t>Divya Rao</t>
  </si>
  <si>
    <t>ORD-1196</t>
  </si>
  <si>
    <t>Arjun Patel</t>
  </si>
  <si>
    <t>ORD-1217</t>
  </si>
  <si>
    <t>Priya Nair</t>
  </si>
  <si>
    <t>ORD-1037</t>
  </si>
  <si>
    <t>Preeti Mehta</t>
  </si>
  <si>
    <t>ORD-1107</t>
  </si>
  <si>
    <t>Tanvi Mehta</t>
  </si>
  <si>
    <t>ORD-1201</t>
  </si>
  <si>
    <t>Sanjay Reddy</t>
  </si>
  <si>
    <t>ORD-1072</t>
  </si>
  <si>
    <t>Pallavi Verma</t>
  </si>
  <si>
    <t>ORD-1286</t>
  </si>
  <si>
    <t>Arjun Reddy</t>
  </si>
  <si>
    <t>ORD-1319</t>
  </si>
  <si>
    <t>Akash Sharma</t>
  </si>
  <si>
    <t>ORD-1122</t>
  </si>
  <si>
    <t>Deepak Patel</t>
  </si>
  <si>
    <t>ORD-1282</t>
  </si>
  <si>
    <t>Manish Iyer</t>
  </si>
  <si>
    <t>ORD-1216</t>
  </si>
  <si>
    <t>Ashok Mehta</t>
  </si>
  <si>
    <t>ORD-1093</t>
  </si>
  <si>
    <t>ORD-1048</t>
  </si>
  <si>
    <t>ORD-1033</t>
  </si>
  <si>
    <t>Pooja Gupta</t>
  </si>
  <si>
    <t>ORD-1301</t>
  </si>
  <si>
    <t>Aditya Gupta</t>
  </si>
  <si>
    <t>ORD-1071</t>
  </si>
  <si>
    <t>Divya Gupta</t>
  </si>
  <si>
    <t>ORD-1018</t>
  </si>
  <si>
    <t>Sai Gupta</t>
  </si>
  <si>
    <t>ORD-1142</t>
  </si>
  <si>
    <t>Vikram Gupta</t>
  </si>
  <si>
    <t>ORD-1003</t>
  </si>
  <si>
    <t>Karan Gupta</t>
  </si>
  <si>
    <t>ORD-1227</t>
  </si>
  <si>
    <t>ORD-1309</t>
  </si>
  <si>
    <t>ORD-1049</t>
  </si>
  <si>
    <t>ORD-1045</t>
  </si>
  <si>
    <t>Rajesh Sharma</t>
  </si>
  <si>
    <t>ORD-1056</t>
  </si>
  <si>
    <t>ORD-1284</t>
  </si>
  <si>
    <t>Nisha Mehta</t>
  </si>
  <si>
    <t>ORD-1096</t>
  </si>
  <si>
    <t>Vikram Patel</t>
  </si>
  <si>
    <t>ORD-1237</t>
  </si>
  <si>
    <t>Nikhil Rao</t>
  </si>
  <si>
    <t>ORD-1121</t>
  </si>
  <si>
    <t>Aditya Sharma</t>
  </si>
  <si>
    <t>ORD-1288</t>
  </si>
  <si>
    <t>ORD-1208</t>
  </si>
  <si>
    <t>Ritu Gupta</t>
  </si>
  <si>
    <t>ORD-1084</t>
  </si>
  <si>
    <t>Ananya Mehta</t>
  </si>
  <si>
    <t>ORD-1131</t>
  </si>
  <si>
    <t>ORD-1032</t>
  </si>
  <si>
    <t>Karan Verma</t>
  </si>
  <si>
    <t>ORD-1086</t>
  </si>
  <si>
    <t>ORD-1271</t>
  </si>
  <si>
    <t>ORD-1147</t>
  </si>
  <si>
    <t>Shreya Reddy</t>
  </si>
  <si>
    <t>ORD-1263</t>
  </si>
  <si>
    <t>ORD-1162</t>
  </si>
  <si>
    <t>Kavya Reddy</t>
  </si>
  <si>
    <t>ORD-1182</t>
  </si>
  <si>
    <t>ORD-1175</t>
  </si>
  <si>
    <t>Nisha Iyer</t>
  </si>
  <si>
    <t>ORD-1017</t>
  </si>
  <si>
    <t>ORD-1265</t>
  </si>
  <si>
    <t>Rohan Sharma</t>
  </si>
  <si>
    <t>ORD-1300</t>
  </si>
  <si>
    <t>Amit Reddy</t>
  </si>
  <si>
    <t>ORD-1031</t>
  </si>
  <si>
    <t>Karan Iyer</t>
  </si>
  <si>
    <t>ORD-1235</t>
  </si>
  <si>
    <t>Suresh Singh</t>
  </si>
  <si>
    <t>ORD-1095</t>
  </si>
  <si>
    <t>Komal Iyer</t>
  </si>
  <si>
    <t>ORD-1044</t>
  </si>
  <si>
    <t>Sanjay Verma</t>
  </si>
  <si>
    <t>ORD-1156</t>
  </si>
  <si>
    <t>ORD-1262</t>
  </si>
  <si>
    <t>ORD-1212</t>
  </si>
  <si>
    <t>Anjali Patel</t>
  </si>
  <si>
    <t>ORD-1248</t>
  </si>
  <si>
    <t>ORD-1127</t>
  </si>
  <si>
    <t>ORD-1137</t>
  </si>
  <si>
    <t>ORD-1057</t>
  </si>
  <si>
    <t>Arjun Gupta</t>
  </si>
  <si>
    <t>ORD-1054</t>
  </si>
  <si>
    <t>Pallavi Iyer</t>
  </si>
  <si>
    <t>ORD-1043</t>
  </si>
  <si>
    <t>ORD-1144</t>
  </si>
  <si>
    <t>ORD-1119</t>
  </si>
  <si>
    <t>Deepak Mehta</t>
  </si>
  <si>
    <t>ORD-1130</t>
  </si>
  <si>
    <t>Preeti Nair</t>
  </si>
  <si>
    <t>ORD-1133</t>
  </si>
  <si>
    <t>ORD-1234</t>
  </si>
  <si>
    <t>Neha Reddy</t>
  </si>
  <si>
    <t>ORD-1157</t>
  </si>
  <si>
    <t>Ritu Nair</t>
  </si>
  <si>
    <t>ORD-1178</t>
  </si>
  <si>
    <t>Manish Nair</t>
  </si>
  <si>
    <t>ORD-1092</t>
  </si>
  <si>
    <t>Amit Verma</t>
  </si>
  <si>
    <t>ORD-1076</t>
  </si>
  <si>
    <t>Rajesh Patel</t>
  </si>
  <si>
    <t>ORD-1116</t>
  </si>
  <si>
    <t>Karan Mehta</t>
  </si>
  <si>
    <t>ORD-1221</t>
  </si>
  <si>
    <t>Nisha Sharma</t>
  </si>
  <si>
    <t>ORD-1041</t>
  </si>
  <si>
    <t>Neha Rao</t>
  </si>
  <si>
    <t>ORD-1200</t>
  </si>
  <si>
    <t>ORD-1068</t>
  </si>
  <si>
    <t>Vikram Verma</t>
  </si>
  <si>
    <t>ORD-1066</t>
  </si>
  <si>
    <t>ORD-1120</t>
  </si>
  <si>
    <t>ORD-1050</t>
  </si>
  <si>
    <t>Arjun Iyer</t>
  </si>
  <si>
    <t>ORD-1210</t>
  </si>
  <si>
    <t>ORD-1173</t>
  </si>
  <si>
    <t>Vikram Nair</t>
  </si>
  <si>
    <t>ORD-1292</t>
  </si>
  <si>
    <t>ORD-1226</t>
  </si>
  <si>
    <t>Divya Sharma</t>
  </si>
  <si>
    <t>ORD-1094</t>
  </si>
  <si>
    <t>Aditya Nair</t>
  </si>
  <si>
    <t>ORD-1009</t>
  </si>
  <si>
    <t>ORD-1177</t>
  </si>
  <si>
    <t>ORD-1244</t>
  </si>
  <si>
    <t>ORD-1320</t>
  </si>
  <si>
    <t>Diya Gupta</t>
  </si>
  <si>
    <t>ORD-1042</t>
  </si>
  <si>
    <t>ORD-1002</t>
  </si>
  <si>
    <t>ORD-1036</t>
  </si>
  <si>
    <t>ORD-1128</t>
  </si>
  <si>
    <t>Tanvi Verma</t>
  </si>
  <si>
    <t>ORD-1160</t>
  </si>
  <si>
    <t>Karan Singh</t>
  </si>
  <si>
    <t>ORD-1311</t>
  </si>
  <si>
    <t>Pooja Iyer</t>
  </si>
  <si>
    <t>ORD-1070</t>
  </si>
  <si>
    <t>ORD-1073</t>
  </si>
  <si>
    <t>Sai Patel</t>
  </si>
  <si>
    <t>ORD-1258</t>
  </si>
  <si>
    <t>Swati Reddy</t>
  </si>
  <si>
    <t>ORD-1253</t>
  </si>
  <si>
    <t>Ashok Verma</t>
  </si>
  <si>
    <t>ORD-1231</t>
  </si>
  <si>
    <t>Kavya Singh</t>
  </si>
  <si>
    <t>ORD-1110</t>
  </si>
  <si>
    <t>Vihaan Verma</t>
  </si>
  <si>
    <t>ORD-1004</t>
  </si>
  <si>
    <t>ORD-1236</t>
  </si>
  <si>
    <t>ORD-1099</t>
  </si>
  <si>
    <t>ORD-1067</t>
  </si>
  <si>
    <t>Anjali Verma</t>
  </si>
  <si>
    <t>ORD-1277</t>
  </si>
  <si>
    <t>ORD-1078</t>
  </si>
  <si>
    <t>Divya Reddy</t>
  </si>
  <si>
    <t>ORD-1295</t>
  </si>
  <si>
    <t>ORD-1213</t>
  </si>
  <si>
    <t>Meera Reddy</t>
  </si>
  <si>
    <t>ORD-1298</t>
  </si>
  <si>
    <t>ORD-1225</t>
  </si>
  <si>
    <t>ORD-1047</t>
  </si>
  <si>
    <t>ORD-1224</t>
  </si>
  <si>
    <t>Preeti Sharma</t>
  </si>
  <si>
    <t>ORD-1087</t>
  </si>
  <si>
    <t>Nikhil Sharma</t>
  </si>
  <si>
    <t>ORD-1207</t>
  </si>
  <si>
    <t>ORD-1146</t>
  </si>
  <si>
    <t>Akash Gupta</t>
  </si>
  <si>
    <t>ORD-1108</t>
  </si>
  <si>
    <t>ORD-1220</t>
  </si>
  <si>
    <t>Tanvi Singh</t>
  </si>
  <si>
    <t>ORD-1167</t>
  </si>
  <si>
    <t>Kavya Mehta</t>
  </si>
  <si>
    <t>ORD-1023</t>
  </si>
  <si>
    <t>ORD-1089</t>
  </si>
  <si>
    <t>Vikram Sharma</t>
  </si>
  <si>
    <t>ORD-1269</t>
  </si>
  <si>
    <t>ORD-1254</t>
  </si>
  <si>
    <t>Reyansh Sharma</t>
  </si>
  <si>
    <t>ORD-1232</t>
  </si>
  <si>
    <t>Rahul Mehta</t>
  </si>
  <si>
    <t>ORD-1218</t>
  </si>
  <si>
    <t>ORD-1010</t>
  </si>
  <si>
    <t>Varun Gupta</t>
  </si>
  <si>
    <t>Office Supplies - Unspecified</t>
  </si>
  <si>
    <t>ORD-1164</t>
  </si>
  <si>
    <t>ORD-1155</t>
  </si>
  <si>
    <t>ORD-1027</t>
  </si>
  <si>
    <t>Nikhil Nair</t>
  </si>
  <si>
    <t>ORD-1252</t>
  </si>
  <si>
    <t>ORD-1310</t>
  </si>
  <si>
    <t>ORD-1257</t>
  </si>
  <si>
    <t>Pallavi Mehta</t>
  </si>
  <si>
    <t>ORD-1012</t>
  </si>
  <si>
    <t>Rahul Rao</t>
  </si>
  <si>
    <t>ORD-1198</t>
  </si>
  <si>
    <t>Nikhil Gupta</t>
  </si>
  <si>
    <t>ORD-1064</t>
  </si>
  <si>
    <t>ORD-1088</t>
  </si>
  <si>
    <t>Meera Patel</t>
  </si>
  <si>
    <t>ORD-1163</t>
  </si>
  <si>
    <t>Nisha Nair</t>
  </si>
  <si>
    <t>ORD-1245</t>
  </si>
  <si>
    <t>Aditya Verma</t>
  </si>
  <si>
    <t>ORD-1204</t>
  </si>
  <si>
    <t>Suresh Iyer</t>
  </si>
  <si>
    <t>ORD-1317</t>
  </si>
  <si>
    <t>ORD-1256</t>
  </si>
  <si>
    <t>ORD-1103</t>
  </si>
  <si>
    <t>Nikhil Mehta</t>
  </si>
  <si>
    <t>ORD-1154</t>
  </si>
  <si>
    <t>Kavya Patel</t>
  </si>
  <si>
    <t>ORD-1006</t>
  </si>
  <si>
    <t>Reyansh Mehta</t>
  </si>
  <si>
    <t>ORD-1249</t>
  </si>
  <si>
    <t>Varun Iyer</t>
  </si>
  <si>
    <t>ORD-1152</t>
  </si>
  <si>
    <t>Priya Reddy</t>
  </si>
  <si>
    <t>ORD-1126</t>
  </si>
  <si>
    <t>Nisha Gupta</t>
  </si>
  <si>
    <t>ORD-1195</t>
  </si>
  <si>
    <t>Sai Reddy</t>
  </si>
  <si>
    <t>ORD-1176</t>
  </si>
  <si>
    <t>ORD-1290</t>
  </si>
  <si>
    <t>ORD-1293</t>
  </si>
  <si>
    <t>Rajesh Singh</t>
  </si>
  <si>
    <t>ORD-1053</t>
  </si>
  <si>
    <t>Amit Gupta</t>
  </si>
  <si>
    <t>ORD-1097</t>
  </si>
  <si>
    <t>ORD-1105</t>
  </si>
  <si>
    <t>Anjali Reddy</t>
  </si>
  <si>
    <t>ORD-1174</t>
  </si>
  <si>
    <t>Arjun Sharma</t>
  </si>
  <si>
    <t>ORD-1039</t>
  </si>
  <si>
    <t>ORD-1192</t>
  </si>
  <si>
    <t>ORD-1081</t>
  </si>
  <si>
    <t>Ananya Reddy</t>
  </si>
  <si>
    <t>ORD-1038</t>
  </si>
  <si>
    <t>ORD-1228</t>
  </si>
  <si>
    <t>ORD-1172</t>
  </si>
  <si>
    <t>Ishita Mehta</t>
  </si>
  <si>
    <t>ORD-1170</t>
  </si>
  <si>
    <t>ORD-1211</t>
  </si>
  <si>
    <t>Deepak Gupta</t>
  </si>
  <si>
    <t>ORD-1145</t>
  </si>
  <si>
    <t>Akash Rao</t>
  </si>
  <si>
    <t>ORD-1189</t>
  </si>
  <si>
    <t>Varun Verma</t>
  </si>
  <si>
    <t>ORD-1102</t>
  </si>
  <si>
    <t>ORD-1250</t>
  </si>
  <si>
    <t>ORD-1029</t>
  </si>
  <si>
    <t>Ishita Verma</t>
  </si>
  <si>
    <t>ORD-1058</t>
  </si>
  <si>
    <t>Meera Gupta</t>
  </si>
  <si>
    <t>ORD-1267</t>
  </si>
  <si>
    <t>Shreya Gupta</t>
  </si>
  <si>
    <t>ORD-1109</t>
  </si>
  <si>
    <t>ORD-1280</t>
  </si>
  <si>
    <t>Komal Sharma</t>
  </si>
  <si>
    <t>ORD-1148</t>
  </si>
  <si>
    <t>Kavya Nair</t>
  </si>
  <si>
    <t>ORD-1305</t>
  </si>
  <si>
    <t>ORD-1247</t>
  </si>
  <si>
    <t>ORD-1079</t>
  </si>
  <si>
    <t>Sneha Singh</t>
  </si>
  <si>
    <t>ORD-1123</t>
  </si>
  <si>
    <t>Aditya Patel</t>
  </si>
  <si>
    <t>ORD-1132</t>
  </si>
  <si>
    <t>Nisha Verma</t>
  </si>
  <si>
    <t>Business Summary Metrics</t>
  </si>
  <si>
    <t>Metric</t>
  </si>
  <si>
    <t>Value</t>
  </si>
  <si>
    <t>Total Sales</t>
  </si>
  <si>
    <t>Total Profit</t>
  </si>
  <si>
    <t>Total Orders</t>
  </si>
  <si>
    <t>Average Order Value</t>
  </si>
  <si>
    <t>Total Quantity Sold</t>
  </si>
  <si>
    <t>Sales &amp; Profit by Region</t>
  </si>
  <si>
    <t>Profit &amp; Sales by Category</t>
  </si>
  <si>
    <t>Profit Margin %</t>
  </si>
  <si>
    <t>Monthly Sales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</si>
  <si>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</si>
  <si>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</si>
  <si>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</si>
  <si>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</si>
  <si>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</si>
  <si>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</si>
  <si>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</si>
  <si>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</si>
  <si>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</si>
  <si>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</si>
  <si>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</si>
  <si>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</si>
  <si>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</si>
  <si>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Customers by Sales</t>
  </si>
  <si>
    <t>Rank Key</t>
  </si>
  <si>
    <t>TOP 10 CUSTOMERS</t>
  </si>
  <si>
    <t>Rank</t>
  </si>
  <si>
    <t>Top 5 Products by Sales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</si>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</sst>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\$#,##0.00"/>
    <numFmt numFmtId="166" formatCode="0.0%"/>
    <numFmt numFmtId="167" formatCode="0.0000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 tint="0.39997558519241921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/>
    <xf numFmtId="3" fontId="2" fillId="0" borderId="1" xfId="0" applyNumberFormat="1" applyFon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0" fontId="2" fillId="0" borderId="0" xfId="0" applyFont="1"/>
    <xf numFmtId="165" fontId="0" fillId="0" borderId="0" xfId="0" applyNumberFormat="1"/>
    <xf numFmtId="167" fontId="0" fillId="0" borderId="0" xfId="0" applyNumberFormat="1"/>
    <xf numFmtId="0" fontId="3" fillId="0" borderId="0" xfId="0" applyFont="1"/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Font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0"/>
  <sheetViews>
    <sheetView tabSelected="1" zoomScaleNormal="100" workbookViewId="0">
      <pane ySplit="1" topLeftCell="A56" activePane="bottomLeft" state="frozen"/>
      <selection pane="bottomLeft" activeCell="E6" sqref="E6"/>
    </sheetView>
  </sheetViews>
  <sheetFormatPr defaultColWidth="8.7109375" defaultRowHeight="15" x14ac:dyDescent="0.25"/>
  <cols>
    <col min="1" max="2" width="12" customWidth="1"/>
    <col min="3" max="3" width="18" customWidth="1"/>
    <col min="4" max="4" width="10" customWidth="1"/>
    <col min="5" max="5" width="16" customWidth="1"/>
    <col min="6" max="6" width="22" customWidth="1"/>
    <col min="7" max="7" width="12" customWidth="1"/>
    <col min="8" max="8" width="10" customWidth="1"/>
    <col min="9" max="9" width="12" customWidth="1"/>
    <col min="10" max="10" width="10" customWidth="1"/>
  </cols>
  <sheetData>
    <row r="1" spans="1:1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25">
      <c r="A2" s="2" t="s">
        <v>10</v>
      </c>
      <c r="B2" s="3">
        <v>44928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468.3</v>
      </c>
      <c r="H2" s="2">
        <v>12</v>
      </c>
      <c r="I2" s="4">
        <v>100.7</v>
      </c>
      <c r="J2" s="5">
        <v>0.15</v>
      </c>
    </row>
    <row r="3" spans="1:10" x14ac:dyDescent="0.25">
      <c r="A3" s="2" t="s">
        <v>15</v>
      </c>
      <c r="B3" s="3">
        <v>44928</v>
      </c>
      <c r="C3" s="2" t="s">
        <v>16</v>
      </c>
      <c r="D3" s="2" t="s">
        <v>17</v>
      </c>
      <c r="E3" s="2" t="s">
        <v>13</v>
      </c>
      <c r="F3" s="2" t="s">
        <v>14</v>
      </c>
      <c r="G3" s="4">
        <v>171.56</v>
      </c>
      <c r="H3" s="2">
        <v>5</v>
      </c>
      <c r="I3" s="4">
        <v>22.23</v>
      </c>
      <c r="J3" s="5">
        <v>0.3</v>
      </c>
    </row>
    <row r="4" spans="1:10" x14ac:dyDescent="0.25">
      <c r="A4" s="2" t="s">
        <v>15</v>
      </c>
      <c r="B4" s="3">
        <v>44928</v>
      </c>
      <c r="C4" s="2" t="s">
        <v>16</v>
      </c>
      <c r="D4" s="2" t="s">
        <v>17</v>
      </c>
      <c r="E4" s="2" t="s">
        <v>13</v>
      </c>
      <c r="F4" s="2" t="s">
        <v>14</v>
      </c>
      <c r="G4" s="4">
        <v>171.56</v>
      </c>
      <c r="H4" s="2">
        <v>5</v>
      </c>
      <c r="I4" s="4">
        <v>22.23</v>
      </c>
      <c r="J4" s="5">
        <v>0.3</v>
      </c>
    </row>
    <row r="5" spans="1:10" x14ac:dyDescent="0.25">
      <c r="A5" s="2" t="s">
        <v>18</v>
      </c>
      <c r="B5" s="3">
        <v>44929</v>
      </c>
      <c r="C5" s="2" t="s">
        <v>19</v>
      </c>
      <c r="D5" s="2" t="s">
        <v>12</v>
      </c>
      <c r="E5" s="2" t="s">
        <v>13</v>
      </c>
      <c r="F5" s="2" t="s">
        <v>20</v>
      </c>
      <c r="G5" s="4">
        <v>25.1</v>
      </c>
      <c r="H5" s="2">
        <v>2</v>
      </c>
      <c r="I5" s="4">
        <v>-0.92</v>
      </c>
      <c r="J5" s="5">
        <v>0.2</v>
      </c>
    </row>
    <row r="6" spans="1:10" x14ac:dyDescent="0.25">
      <c r="A6" s="2" t="s">
        <v>21</v>
      </c>
      <c r="B6" s="3">
        <v>44930</v>
      </c>
      <c r="C6" s="2" t="s">
        <v>22</v>
      </c>
      <c r="D6" s="2" t="s">
        <v>12</v>
      </c>
      <c r="E6" s="15" t="s">
        <v>23</v>
      </c>
      <c r="F6" s="2" t="s">
        <v>24</v>
      </c>
      <c r="G6" s="4">
        <v>673.99</v>
      </c>
      <c r="H6" s="2">
        <v>9</v>
      </c>
      <c r="I6" s="4">
        <v>189.11</v>
      </c>
      <c r="J6" s="5">
        <v>0.1</v>
      </c>
    </row>
    <row r="7" spans="1:10" x14ac:dyDescent="0.25">
      <c r="A7" s="2" t="s">
        <v>25</v>
      </c>
      <c r="B7" s="3">
        <v>44931</v>
      </c>
      <c r="C7" s="2" t="s">
        <v>26</v>
      </c>
      <c r="D7" s="2" t="s">
        <v>17</v>
      </c>
      <c r="E7" s="2" t="s">
        <v>27</v>
      </c>
      <c r="F7" s="2" t="s">
        <v>28</v>
      </c>
      <c r="G7" s="4">
        <v>3756.21</v>
      </c>
      <c r="H7" s="2">
        <v>11</v>
      </c>
      <c r="I7" s="4">
        <v>485.83</v>
      </c>
      <c r="J7" s="5">
        <v>0</v>
      </c>
    </row>
    <row r="8" spans="1:10" x14ac:dyDescent="0.25">
      <c r="A8" s="2" t="s">
        <v>29</v>
      </c>
      <c r="B8" s="3">
        <v>44934</v>
      </c>
      <c r="C8" s="2" t="s">
        <v>30</v>
      </c>
      <c r="D8" s="2" t="s">
        <v>17</v>
      </c>
      <c r="E8" s="2" t="s">
        <v>13</v>
      </c>
      <c r="F8" s="2" t="s">
        <v>20</v>
      </c>
      <c r="G8" s="4">
        <v>175.21</v>
      </c>
      <c r="H8" s="2">
        <v>12</v>
      </c>
      <c r="I8" s="4">
        <v>34.909999999999997</v>
      </c>
      <c r="J8" s="5">
        <v>0.1</v>
      </c>
    </row>
    <row r="9" spans="1:10" x14ac:dyDescent="0.25">
      <c r="A9" s="2" t="s">
        <v>31</v>
      </c>
      <c r="B9" s="3">
        <v>44935</v>
      </c>
      <c r="C9" s="2" t="s">
        <v>32</v>
      </c>
      <c r="D9" s="2" t="s">
        <v>12</v>
      </c>
      <c r="E9" s="2" t="s">
        <v>23</v>
      </c>
      <c r="F9" s="2" t="s">
        <v>24</v>
      </c>
      <c r="G9" s="4">
        <v>245.28</v>
      </c>
      <c r="H9" s="2">
        <v>1</v>
      </c>
      <c r="I9" s="4">
        <v>56.18</v>
      </c>
      <c r="J9" s="5">
        <v>0.1</v>
      </c>
    </row>
    <row r="10" spans="1:10" x14ac:dyDescent="0.25">
      <c r="A10" s="2" t="s">
        <v>33</v>
      </c>
      <c r="B10" s="3">
        <v>44937</v>
      </c>
      <c r="C10" s="2" t="s">
        <v>34</v>
      </c>
      <c r="D10" s="2" t="s">
        <v>17</v>
      </c>
      <c r="E10" s="2" t="s">
        <v>23</v>
      </c>
      <c r="F10" s="2" t="s">
        <v>35</v>
      </c>
      <c r="G10" s="4">
        <v>1838.46</v>
      </c>
      <c r="H10" s="2">
        <v>11</v>
      </c>
      <c r="I10" s="4">
        <v>215.34</v>
      </c>
      <c r="J10" s="5">
        <v>0</v>
      </c>
    </row>
    <row r="11" spans="1:10" x14ac:dyDescent="0.25">
      <c r="A11" s="2" t="s">
        <v>36</v>
      </c>
      <c r="B11" s="3">
        <v>44938</v>
      </c>
      <c r="C11" s="2" t="s">
        <v>37</v>
      </c>
      <c r="D11" s="2" t="s">
        <v>38</v>
      </c>
      <c r="E11" s="2" t="s">
        <v>23</v>
      </c>
      <c r="F11" s="2" t="s">
        <v>39</v>
      </c>
      <c r="G11" s="4">
        <v>573.35</v>
      </c>
      <c r="H11" s="2">
        <v>5</v>
      </c>
      <c r="I11" s="4">
        <v>101.49</v>
      </c>
      <c r="J11" s="5">
        <v>0.2</v>
      </c>
    </row>
    <row r="12" spans="1:10" x14ac:dyDescent="0.25">
      <c r="A12" s="2" t="s">
        <v>40</v>
      </c>
      <c r="B12" s="3">
        <v>44943</v>
      </c>
      <c r="C12" s="2" t="s">
        <v>41</v>
      </c>
      <c r="D12" s="2" t="s">
        <v>42</v>
      </c>
      <c r="E12" s="2" t="s">
        <v>27</v>
      </c>
      <c r="F12" s="2" t="s">
        <v>43</v>
      </c>
      <c r="G12" s="4">
        <v>616.04999999999995</v>
      </c>
      <c r="H12" s="2">
        <v>6</v>
      </c>
      <c r="I12" s="4">
        <v>111.98</v>
      </c>
      <c r="J12" s="5">
        <v>0.05</v>
      </c>
    </row>
    <row r="13" spans="1:10" x14ac:dyDescent="0.25">
      <c r="A13" s="2" t="s">
        <v>44</v>
      </c>
      <c r="B13" s="3">
        <v>44944</v>
      </c>
      <c r="C13" s="2" t="s">
        <v>45</v>
      </c>
      <c r="D13" s="2" t="s">
        <v>17</v>
      </c>
      <c r="E13" s="2" t="s">
        <v>27</v>
      </c>
      <c r="F13" s="2" t="s">
        <v>46</v>
      </c>
      <c r="G13" s="4">
        <v>2365.11</v>
      </c>
      <c r="H13" s="2">
        <v>9</v>
      </c>
      <c r="I13" s="4">
        <v>203.6</v>
      </c>
      <c r="J13" s="5">
        <v>0</v>
      </c>
    </row>
    <row r="14" spans="1:10" x14ac:dyDescent="0.25">
      <c r="A14" s="2" t="s">
        <v>47</v>
      </c>
      <c r="B14" s="3">
        <v>44945</v>
      </c>
      <c r="C14" s="2" t="s">
        <v>48</v>
      </c>
      <c r="D14" s="2" t="s">
        <v>38</v>
      </c>
      <c r="E14" s="2" t="s">
        <v>13</v>
      </c>
      <c r="F14" s="2" t="s">
        <v>20</v>
      </c>
      <c r="G14" s="4">
        <v>163.44</v>
      </c>
      <c r="H14" s="2">
        <v>5</v>
      </c>
      <c r="I14" s="4">
        <v>39.229999999999997</v>
      </c>
      <c r="J14" s="5">
        <v>0.15</v>
      </c>
    </row>
    <row r="15" spans="1:10" x14ac:dyDescent="0.25">
      <c r="A15" s="2" t="s">
        <v>49</v>
      </c>
      <c r="B15" s="3">
        <v>44946</v>
      </c>
      <c r="C15" s="2" t="s">
        <v>50</v>
      </c>
      <c r="D15" s="2" t="s">
        <v>17</v>
      </c>
      <c r="E15" s="2" t="s">
        <v>13</v>
      </c>
      <c r="F15" s="2" t="s">
        <v>51</v>
      </c>
      <c r="G15" s="4">
        <v>52.12</v>
      </c>
      <c r="H15" s="2">
        <v>2</v>
      </c>
      <c r="I15" s="4">
        <v>-6.76</v>
      </c>
      <c r="J15" s="5">
        <v>0.3</v>
      </c>
    </row>
    <row r="16" spans="1:10" x14ac:dyDescent="0.25">
      <c r="A16" s="2" t="s">
        <v>52</v>
      </c>
      <c r="B16" s="3">
        <v>44949</v>
      </c>
      <c r="C16" s="2" t="s">
        <v>53</v>
      </c>
      <c r="D16" s="2" t="s">
        <v>42</v>
      </c>
      <c r="E16" s="2" t="s">
        <v>13</v>
      </c>
      <c r="F16" s="2" t="s">
        <v>54</v>
      </c>
      <c r="G16" s="4">
        <v>9.58</v>
      </c>
      <c r="H16" s="2">
        <v>1</v>
      </c>
      <c r="I16" s="4">
        <v>2.61</v>
      </c>
      <c r="J16" s="5">
        <v>0</v>
      </c>
    </row>
    <row r="17" spans="1:10" x14ac:dyDescent="0.25">
      <c r="A17" s="2" t="s">
        <v>55</v>
      </c>
      <c r="B17" s="3">
        <v>44949</v>
      </c>
      <c r="C17" s="2" t="s">
        <v>56</v>
      </c>
      <c r="D17" s="2" t="s">
        <v>42</v>
      </c>
      <c r="E17" s="2" t="s">
        <v>13</v>
      </c>
      <c r="F17" s="2" t="s">
        <v>54</v>
      </c>
      <c r="G17" s="4">
        <v>198.72</v>
      </c>
      <c r="H17" s="2">
        <v>11</v>
      </c>
      <c r="I17" s="4">
        <v>39.06</v>
      </c>
      <c r="J17" s="5">
        <v>0.15</v>
      </c>
    </row>
    <row r="18" spans="1:10" x14ac:dyDescent="0.25">
      <c r="A18" s="2" t="s">
        <v>57</v>
      </c>
      <c r="B18" s="3">
        <v>44950</v>
      </c>
      <c r="C18" s="2" t="s">
        <v>58</v>
      </c>
      <c r="D18" s="2" t="s">
        <v>42</v>
      </c>
      <c r="E18" s="2" t="s">
        <v>23</v>
      </c>
      <c r="F18" s="2" t="s">
        <v>59</v>
      </c>
      <c r="G18" s="4">
        <v>456.45</v>
      </c>
      <c r="H18" s="2">
        <v>6</v>
      </c>
      <c r="I18" s="4">
        <v>98.53</v>
      </c>
      <c r="J18" s="5">
        <v>0</v>
      </c>
    </row>
    <row r="19" spans="1:10" x14ac:dyDescent="0.25">
      <c r="A19" s="2" t="s">
        <v>60</v>
      </c>
      <c r="B19" s="3">
        <v>44952</v>
      </c>
      <c r="C19" s="2" t="s">
        <v>61</v>
      </c>
      <c r="D19" s="2" t="s">
        <v>38</v>
      </c>
      <c r="E19" s="2" t="s">
        <v>13</v>
      </c>
      <c r="F19" s="2" t="s">
        <v>14</v>
      </c>
      <c r="G19" s="4">
        <v>176.23</v>
      </c>
      <c r="H19" s="2">
        <v>5</v>
      </c>
      <c r="I19" s="4">
        <v>51.82</v>
      </c>
      <c r="J19" s="5">
        <v>0</v>
      </c>
    </row>
    <row r="20" spans="1:10" x14ac:dyDescent="0.25">
      <c r="A20" s="2" t="s">
        <v>62</v>
      </c>
      <c r="B20" s="3">
        <v>44952</v>
      </c>
      <c r="C20" s="2" t="s">
        <v>63</v>
      </c>
      <c r="D20" s="2" t="s">
        <v>17</v>
      </c>
      <c r="E20" s="2" t="s">
        <v>23</v>
      </c>
      <c r="F20" s="2" t="s">
        <v>59</v>
      </c>
      <c r="G20" s="4">
        <v>196.09</v>
      </c>
      <c r="H20" s="2">
        <v>3</v>
      </c>
      <c r="I20" s="4">
        <v>42.01</v>
      </c>
      <c r="J20" s="5">
        <v>0.05</v>
      </c>
    </row>
    <row r="21" spans="1:10" x14ac:dyDescent="0.25">
      <c r="A21" s="2" t="s">
        <v>64</v>
      </c>
      <c r="B21" s="3">
        <v>44952</v>
      </c>
      <c r="C21" s="2" t="s">
        <v>65</v>
      </c>
      <c r="D21" s="2" t="s">
        <v>42</v>
      </c>
      <c r="E21" s="2" t="s">
        <v>27</v>
      </c>
      <c r="F21" s="2" t="s">
        <v>66</v>
      </c>
      <c r="G21" s="4">
        <v>1127.17</v>
      </c>
      <c r="H21" s="2">
        <v>3</v>
      </c>
      <c r="I21" s="4">
        <v>-136.56</v>
      </c>
      <c r="J21" s="5">
        <v>0.3</v>
      </c>
    </row>
    <row r="22" spans="1:10" x14ac:dyDescent="0.25">
      <c r="A22" s="2" t="s">
        <v>67</v>
      </c>
      <c r="B22" s="3">
        <v>44953</v>
      </c>
      <c r="C22" s="2" t="s">
        <v>68</v>
      </c>
      <c r="D22" s="2" t="s">
        <v>12</v>
      </c>
      <c r="E22" s="2" t="s">
        <v>13</v>
      </c>
      <c r="F22" s="2" t="s">
        <v>14</v>
      </c>
      <c r="G22" s="4">
        <v>80.38</v>
      </c>
      <c r="H22" s="2">
        <v>11</v>
      </c>
      <c r="I22" s="4">
        <v>1.23</v>
      </c>
      <c r="J22" s="5">
        <v>0.2</v>
      </c>
    </row>
    <row r="23" spans="1:10" x14ac:dyDescent="0.25">
      <c r="A23" s="2" t="s">
        <v>69</v>
      </c>
      <c r="B23" s="3">
        <v>44954</v>
      </c>
      <c r="C23" s="2" t="s">
        <v>70</v>
      </c>
      <c r="D23" s="2" t="s">
        <v>12</v>
      </c>
      <c r="E23" s="2" t="s">
        <v>23</v>
      </c>
      <c r="F23" s="2" t="s">
        <v>71</v>
      </c>
      <c r="G23" s="4">
        <v>349.09</v>
      </c>
      <c r="H23" s="2">
        <v>11</v>
      </c>
      <c r="I23" s="4">
        <v>59.4</v>
      </c>
      <c r="J23" s="5">
        <v>0.05</v>
      </c>
    </row>
    <row r="24" spans="1:10" x14ac:dyDescent="0.25">
      <c r="A24" s="2" t="s">
        <v>72</v>
      </c>
      <c r="B24" s="3">
        <v>44955</v>
      </c>
      <c r="C24" s="2" t="s">
        <v>73</v>
      </c>
      <c r="D24" s="2" t="s">
        <v>42</v>
      </c>
      <c r="E24" s="2" t="s">
        <v>23</v>
      </c>
      <c r="F24" s="2" t="s">
        <v>71</v>
      </c>
      <c r="G24" s="4">
        <v>361.93</v>
      </c>
      <c r="H24" s="2">
        <v>5</v>
      </c>
      <c r="I24" s="4">
        <v>36.11</v>
      </c>
      <c r="J24" s="5">
        <v>0.2</v>
      </c>
    </row>
    <row r="25" spans="1:10" x14ac:dyDescent="0.25">
      <c r="A25" s="2" t="s">
        <v>74</v>
      </c>
      <c r="B25" s="3">
        <v>44955</v>
      </c>
      <c r="C25" s="2" t="s">
        <v>75</v>
      </c>
      <c r="D25" s="2" t="s">
        <v>38</v>
      </c>
      <c r="E25" s="2" t="s">
        <v>13</v>
      </c>
      <c r="F25" s="2" t="s">
        <v>54</v>
      </c>
      <c r="G25" s="4">
        <v>38.090000000000003</v>
      </c>
      <c r="H25" s="2">
        <v>1</v>
      </c>
      <c r="I25" s="4">
        <v>2.93</v>
      </c>
      <c r="J25" s="5">
        <v>0.1</v>
      </c>
    </row>
    <row r="26" spans="1:10" x14ac:dyDescent="0.25">
      <c r="A26" s="2" t="s">
        <v>76</v>
      </c>
      <c r="B26" s="3">
        <v>44956</v>
      </c>
      <c r="C26" s="2" t="s">
        <v>77</v>
      </c>
      <c r="D26" s="2" t="s">
        <v>38</v>
      </c>
      <c r="E26" s="2" t="s">
        <v>13</v>
      </c>
      <c r="F26" s="2" t="s">
        <v>51</v>
      </c>
      <c r="G26" s="4">
        <v>254.72</v>
      </c>
      <c r="H26" s="2">
        <v>8</v>
      </c>
      <c r="I26" s="4">
        <v>20.39</v>
      </c>
      <c r="J26" s="5">
        <v>0</v>
      </c>
    </row>
    <row r="27" spans="1:10" x14ac:dyDescent="0.25">
      <c r="A27" s="2" t="s">
        <v>78</v>
      </c>
      <c r="B27" s="3">
        <v>44964</v>
      </c>
      <c r="C27" s="2" t="s">
        <v>79</v>
      </c>
      <c r="D27" s="2" t="s">
        <v>42</v>
      </c>
      <c r="E27" s="2" t="s">
        <v>13</v>
      </c>
      <c r="F27" s="2" t="s">
        <v>80</v>
      </c>
      <c r="G27" s="4">
        <v>29.51</v>
      </c>
      <c r="H27" s="2">
        <v>1</v>
      </c>
      <c r="I27" s="4">
        <v>9.75</v>
      </c>
      <c r="J27" s="5">
        <v>0</v>
      </c>
    </row>
    <row r="28" spans="1:10" x14ac:dyDescent="0.25">
      <c r="A28" s="2" t="s">
        <v>78</v>
      </c>
      <c r="B28" s="3">
        <v>44964</v>
      </c>
      <c r="C28" s="2" t="s">
        <v>79</v>
      </c>
      <c r="D28" s="2" t="s">
        <v>42</v>
      </c>
      <c r="E28" s="2" t="s">
        <v>13</v>
      </c>
      <c r="F28" s="2" t="s">
        <v>80</v>
      </c>
      <c r="G28" s="4">
        <v>29.51</v>
      </c>
      <c r="H28" s="2">
        <v>1</v>
      </c>
      <c r="I28" s="4">
        <v>9.75</v>
      </c>
      <c r="J28" s="5">
        <v>0</v>
      </c>
    </row>
    <row r="29" spans="1:10" x14ac:dyDescent="0.25">
      <c r="A29" s="2" t="s">
        <v>81</v>
      </c>
      <c r="B29" s="3">
        <v>44964</v>
      </c>
      <c r="C29" s="2" t="s">
        <v>82</v>
      </c>
      <c r="D29" s="2" t="s">
        <v>42</v>
      </c>
      <c r="E29" s="2" t="s">
        <v>13</v>
      </c>
      <c r="F29" s="2" t="s">
        <v>54</v>
      </c>
      <c r="G29" s="4">
        <v>68.760000000000005</v>
      </c>
      <c r="H29" s="2">
        <v>10</v>
      </c>
      <c r="I29" s="4">
        <v>1.07</v>
      </c>
      <c r="J29" s="5">
        <v>0.1</v>
      </c>
    </row>
    <row r="30" spans="1:10" x14ac:dyDescent="0.25">
      <c r="A30" s="2" t="s">
        <v>83</v>
      </c>
      <c r="B30" s="3">
        <v>44965</v>
      </c>
      <c r="C30" s="2" t="s">
        <v>56</v>
      </c>
      <c r="D30" s="2" t="s">
        <v>12</v>
      </c>
      <c r="E30" s="2" t="s">
        <v>23</v>
      </c>
      <c r="F30" s="2" t="s">
        <v>71</v>
      </c>
      <c r="G30" s="4">
        <v>1206.3699999999999</v>
      </c>
      <c r="H30" s="2">
        <v>11</v>
      </c>
      <c r="I30" s="4">
        <v>239.36</v>
      </c>
      <c r="J30" s="5">
        <v>0.1</v>
      </c>
    </row>
    <row r="31" spans="1:10" x14ac:dyDescent="0.25">
      <c r="A31" s="2" t="s">
        <v>84</v>
      </c>
      <c r="B31" s="3">
        <v>44966</v>
      </c>
      <c r="C31" s="2" t="s">
        <v>85</v>
      </c>
      <c r="D31" s="2" t="s">
        <v>12</v>
      </c>
      <c r="E31" s="2" t="s">
        <v>23</v>
      </c>
      <c r="F31" s="2" t="s">
        <v>59</v>
      </c>
      <c r="G31" s="4">
        <v>1090.3900000000001</v>
      </c>
      <c r="H31" s="2">
        <v>6</v>
      </c>
      <c r="I31" s="4">
        <v>18.38</v>
      </c>
      <c r="J31" s="5">
        <v>0.2</v>
      </c>
    </row>
    <row r="32" spans="1:10" x14ac:dyDescent="0.25">
      <c r="A32" s="2" t="s">
        <v>86</v>
      </c>
      <c r="B32" s="3">
        <v>44967</v>
      </c>
      <c r="C32" s="2" t="s">
        <v>87</v>
      </c>
      <c r="D32" s="2" t="s">
        <v>42</v>
      </c>
      <c r="E32" s="2" t="s">
        <v>23</v>
      </c>
      <c r="F32" s="2" t="s">
        <v>59</v>
      </c>
      <c r="G32" s="4">
        <v>486.21</v>
      </c>
      <c r="H32" s="2">
        <v>4</v>
      </c>
      <c r="I32" s="4">
        <v>4.28</v>
      </c>
      <c r="J32" s="5">
        <v>0.15</v>
      </c>
    </row>
    <row r="33" spans="1:10" x14ac:dyDescent="0.25">
      <c r="A33" s="2" t="s">
        <v>88</v>
      </c>
      <c r="B33" s="3">
        <v>44968</v>
      </c>
      <c r="C33" s="2" t="s">
        <v>89</v>
      </c>
      <c r="D33" s="2" t="s">
        <v>38</v>
      </c>
      <c r="E33" s="2" t="s">
        <v>23</v>
      </c>
      <c r="F33" s="2" t="s">
        <v>39</v>
      </c>
      <c r="G33" s="4">
        <v>300.19</v>
      </c>
      <c r="H33" s="2">
        <v>9</v>
      </c>
      <c r="I33" s="4">
        <v>20.57</v>
      </c>
      <c r="J33" s="5">
        <v>0</v>
      </c>
    </row>
    <row r="34" spans="1:10" x14ac:dyDescent="0.25">
      <c r="A34" s="2" t="s">
        <v>90</v>
      </c>
      <c r="B34" s="3">
        <v>44969</v>
      </c>
      <c r="C34" s="2" t="s">
        <v>91</v>
      </c>
      <c r="D34" s="2" t="s">
        <v>12</v>
      </c>
      <c r="E34" s="2" t="s">
        <v>23</v>
      </c>
      <c r="F34" s="2" t="s">
        <v>24</v>
      </c>
      <c r="G34" s="4">
        <v>882.25</v>
      </c>
      <c r="H34" s="2">
        <v>11</v>
      </c>
      <c r="I34" s="4">
        <v>12.09</v>
      </c>
      <c r="J34" s="5">
        <v>0.1</v>
      </c>
    </row>
    <row r="35" spans="1:10" x14ac:dyDescent="0.25">
      <c r="A35" s="2" t="s">
        <v>92</v>
      </c>
      <c r="B35" s="3">
        <v>44971</v>
      </c>
      <c r="C35" s="2" t="s">
        <v>50</v>
      </c>
      <c r="D35" s="2" t="s">
        <v>12</v>
      </c>
      <c r="E35" s="2" t="s">
        <v>27</v>
      </c>
      <c r="F35" s="2" t="s">
        <v>43</v>
      </c>
      <c r="G35" s="4">
        <v>4285.82</v>
      </c>
      <c r="H35" s="2">
        <v>11</v>
      </c>
      <c r="I35" s="4">
        <v>921.45</v>
      </c>
      <c r="J35" s="5">
        <v>0</v>
      </c>
    </row>
    <row r="36" spans="1:10" x14ac:dyDescent="0.25">
      <c r="A36" s="2" t="s">
        <v>93</v>
      </c>
      <c r="B36" s="3">
        <v>44971</v>
      </c>
      <c r="C36" s="2" t="s">
        <v>94</v>
      </c>
      <c r="D36" s="2" t="s">
        <v>17</v>
      </c>
      <c r="E36" s="2" t="s">
        <v>23</v>
      </c>
      <c r="F36" s="2" t="s">
        <v>24</v>
      </c>
      <c r="G36" s="4">
        <v>621.03</v>
      </c>
      <c r="H36" s="2">
        <v>5</v>
      </c>
      <c r="I36" s="4">
        <v>19.2</v>
      </c>
      <c r="J36" s="5">
        <v>0.2</v>
      </c>
    </row>
    <row r="37" spans="1:10" x14ac:dyDescent="0.25">
      <c r="A37" s="2" t="s">
        <v>95</v>
      </c>
      <c r="B37" s="3">
        <v>44971</v>
      </c>
      <c r="C37" s="2" t="s">
        <v>96</v>
      </c>
      <c r="D37" s="2" t="s">
        <v>12</v>
      </c>
      <c r="E37" s="2" t="s">
        <v>23</v>
      </c>
      <c r="F37" s="2" t="s">
        <v>39</v>
      </c>
      <c r="G37" s="4">
        <v>336.31</v>
      </c>
      <c r="H37" s="2">
        <v>7</v>
      </c>
      <c r="I37" s="4">
        <v>80.97</v>
      </c>
      <c r="J37" s="5">
        <v>0.15</v>
      </c>
    </row>
    <row r="38" spans="1:10" x14ac:dyDescent="0.25">
      <c r="A38" s="2" t="s">
        <v>97</v>
      </c>
      <c r="B38" s="3">
        <v>44976</v>
      </c>
      <c r="C38" s="2" t="s">
        <v>98</v>
      </c>
      <c r="D38" s="2" t="s">
        <v>12</v>
      </c>
      <c r="E38" s="2" t="s">
        <v>13</v>
      </c>
      <c r="F38" s="2" t="s">
        <v>54</v>
      </c>
      <c r="G38" s="4">
        <v>105.46</v>
      </c>
      <c r="H38" s="2">
        <v>9</v>
      </c>
      <c r="I38" s="4">
        <v>4.24</v>
      </c>
      <c r="J38" s="5">
        <v>0.15</v>
      </c>
    </row>
    <row r="39" spans="1:10" x14ac:dyDescent="0.25">
      <c r="A39" s="2" t="s">
        <v>99</v>
      </c>
      <c r="B39" s="3">
        <v>44977</v>
      </c>
      <c r="C39" s="2" t="s">
        <v>100</v>
      </c>
      <c r="D39" s="2" t="s">
        <v>42</v>
      </c>
      <c r="E39" s="2" t="s">
        <v>13</v>
      </c>
      <c r="F39" s="2" t="s">
        <v>20</v>
      </c>
      <c r="G39" s="4">
        <v>23.92</v>
      </c>
      <c r="H39" s="2">
        <v>1</v>
      </c>
      <c r="I39" s="4">
        <v>7.84</v>
      </c>
      <c r="J39" s="5">
        <v>0</v>
      </c>
    </row>
    <row r="40" spans="1:10" x14ac:dyDescent="0.25">
      <c r="A40" s="2" t="s">
        <v>101</v>
      </c>
      <c r="B40" s="3">
        <v>44977</v>
      </c>
      <c r="C40" s="2" t="s">
        <v>102</v>
      </c>
      <c r="D40" s="2" t="s">
        <v>38</v>
      </c>
      <c r="E40" s="2" t="s">
        <v>27</v>
      </c>
      <c r="F40" s="2" t="s">
        <v>46</v>
      </c>
      <c r="G40" s="4">
        <v>3455.85</v>
      </c>
      <c r="H40" s="2">
        <v>12</v>
      </c>
      <c r="I40" s="4">
        <v>916.56</v>
      </c>
      <c r="J40" s="5">
        <v>0.1</v>
      </c>
    </row>
    <row r="41" spans="1:10" x14ac:dyDescent="0.25">
      <c r="A41" s="2" t="s">
        <v>103</v>
      </c>
      <c r="B41" s="3">
        <v>44978</v>
      </c>
      <c r="C41" s="2" t="s">
        <v>75</v>
      </c>
      <c r="D41" s="2" t="s">
        <v>17</v>
      </c>
      <c r="E41" s="2" t="s">
        <v>13</v>
      </c>
      <c r="F41" s="2" t="s">
        <v>54</v>
      </c>
      <c r="G41" s="4">
        <v>58.65</v>
      </c>
      <c r="H41" s="2">
        <v>6</v>
      </c>
      <c r="I41" s="4">
        <v>9.83</v>
      </c>
      <c r="J41" s="5">
        <v>0.2</v>
      </c>
    </row>
    <row r="42" spans="1:10" x14ac:dyDescent="0.25">
      <c r="A42" s="2" t="s">
        <v>104</v>
      </c>
      <c r="B42" s="3">
        <v>44978</v>
      </c>
      <c r="C42" s="2" t="s">
        <v>105</v>
      </c>
      <c r="D42" s="2" t="s">
        <v>17</v>
      </c>
      <c r="E42" s="2" t="s">
        <v>27</v>
      </c>
      <c r="F42" s="2" t="s">
        <v>106</v>
      </c>
      <c r="G42" s="4">
        <v>3342.07</v>
      </c>
      <c r="H42" s="2">
        <v>9</v>
      </c>
      <c r="I42" s="4">
        <v>242.13</v>
      </c>
      <c r="J42" s="5">
        <v>0</v>
      </c>
    </row>
    <row r="43" spans="1:10" x14ac:dyDescent="0.25">
      <c r="A43" s="2" t="s">
        <v>107</v>
      </c>
      <c r="B43" s="3">
        <v>44979</v>
      </c>
      <c r="C43" s="2" t="s">
        <v>105</v>
      </c>
      <c r="D43" s="2" t="s">
        <v>38</v>
      </c>
      <c r="E43" s="2" t="s">
        <v>13</v>
      </c>
      <c r="F43" s="2" t="s">
        <v>14</v>
      </c>
      <c r="G43" s="4">
        <v>21.48</v>
      </c>
      <c r="H43" s="2">
        <v>3</v>
      </c>
      <c r="I43" s="4">
        <v>1.27</v>
      </c>
      <c r="J43" s="5">
        <v>0.05</v>
      </c>
    </row>
    <row r="44" spans="1:10" x14ac:dyDescent="0.25">
      <c r="A44" s="2" t="s">
        <v>108</v>
      </c>
      <c r="B44" s="3">
        <v>44979</v>
      </c>
      <c r="C44" s="2" t="s">
        <v>109</v>
      </c>
      <c r="D44" s="2" t="s">
        <v>42</v>
      </c>
      <c r="E44" s="2" t="s">
        <v>23</v>
      </c>
      <c r="F44" s="2" t="s">
        <v>35</v>
      </c>
      <c r="G44" s="4">
        <v>1873.16</v>
      </c>
      <c r="H44" s="2">
        <v>12</v>
      </c>
      <c r="I44" s="4">
        <v>541.1</v>
      </c>
      <c r="J44" s="5">
        <v>0</v>
      </c>
    </row>
    <row r="45" spans="1:10" x14ac:dyDescent="0.25">
      <c r="A45" s="2" t="s">
        <v>110</v>
      </c>
      <c r="B45" s="3">
        <v>44979</v>
      </c>
      <c r="C45" s="2" t="s">
        <v>111</v>
      </c>
      <c r="D45" s="2" t="s">
        <v>17</v>
      </c>
      <c r="E45" s="2" t="s">
        <v>27</v>
      </c>
      <c r="F45" s="2" t="s">
        <v>66</v>
      </c>
      <c r="G45" s="4">
        <v>485.73</v>
      </c>
      <c r="H45" s="2">
        <v>3</v>
      </c>
      <c r="I45" s="4">
        <v>50.1</v>
      </c>
      <c r="J45" s="5">
        <v>0</v>
      </c>
    </row>
    <row r="46" spans="1:10" x14ac:dyDescent="0.25">
      <c r="A46" s="2" t="s">
        <v>112</v>
      </c>
      <c r="B46" s="3">
        <v>44982</v>
      </c>
      <c r="C46" s="2" t="s">
        <v>113</v>
      </c>
      <c r="D46" s="2" t="s">
        <v>42</v>
      </c>
      <c r="E46" s="2" t="s">
        <v>27</v>
      </c>
      <c r="F46" s="2" t="s">
        <v>114</v>
      </c>
      <c r="G46" s="4">
        <v>882.17</v>
      </c>
      <c r="H46" s="2">
        <v>6</v>
      </c>
      <c r="I46" s="4">
        <v>43.22</v>
      </c>
      <c r="J46" s="5">
        <v>0.2</v>
      </c>
    </row>
    <row r="47" spans="1:10" x14ac:dyDescent="0.25">
      <c r="A47" s="2" t="s">
        <v>115</v>
      </c>
      <c r="B47" s="3">
        <v>44985</v>
      </c>
      <c r="C47" s="2" t="s">
        <v>116</v>
      </c>
      <c r="D47" s="2" t="s">
        <v>12</v>
      </c>
      <c r="E47" s="2" t="s">
        <v>27</v>
      </c>
      <c r="F47" s="2" t="s">
        <v>114</v>
      </c>
      <c r="G47" s="4">
        <v>3064.48</v>
      </c>
      <c r="H47" s="2">
        <v>8</v>
      </c>
      <c r="I47" s="4">
        <v>437.18</v>
      </c>
      <c r="J47" s="5">
        <v>0.1</v>
      </c>
    </row>
    <row r="48" spans="1:10" x14ac:dyDescent="0.25">
      <c r="A48" s="2" t="s">
        <v>117</v>
      </c>
      <c r="B48" s="3">
        <v>44985</v>
      </c>
      <c r="C48" s="2" t="s">
        <v>118</v>
      </c>
      <c r="D48" s="2" t="s">
        <v>17</v>
      </c>
      <c r="E48" s="2" t="s">
        <v>13</v>
      </c>
      <c r="F48" s="2" t="s">
        <v>14</v>
      </c>
      <c r="G48" s="4">
        <v>89.48</v>
      </c>
      <c r="H48" s="2">
        <v>6</v>
      </c>
      <c r="I48" s="4">
        <v>2.5099999999999998</v>
      </c>
      <c r="J48" s="5">
        <v>0.3</v>
      </c>
    </row>
    <row r="49" spans="1:10" x14ac:dyDescent="0.25">
      <c r="A49" s="2" t="s">
        <v>119</v>
      </c>
      <c r="B49" s="3">
        <v>44987</v>
      </c>
      <c r="C49" s="2" t="s">
        <v>120</v>
      </c>
      <c r="D49" s="2" t="s">
        <v>42</v>
      </c>
      <c r="E49" s="2" t="s">
        <v>13</v>
      </c>
      <c r="F49" s="2" t="s">
        <v>80</v>
      </c>
      <c r="G49" s="4">
        <v>105.46</v>
      </c>
      <c r="H49" s="2">
        <v>12</v>
      </c>
      <c r="I49" s="4">
        <v>36.299999999999997</v>
      </c>
      <c r="J49" s="5">
        <v>0.05</v>
      </c>
    </row>
    <row r="50" spans="1:10" x14ac:dyDescent="0.25">
      <c r="A50" s="2" t="s">
        <v>121</v>
      </c>
      <c r="B50" s="3">
        <v>44988</v>
      </c>
      <c r="C50" s="2" t="s">
        <v>122</v>
      </c>
      <c r="D50" s="2" t="s">
        <v>12</v>
      </c>
      <c r="E50" s="2" t="s">
        <v>13</v>
      </c>
      <c r="F50" s="2" t="s">
        <v>80</v>
      </c>
      <c r="G50" s="4">
        <v>67.33</v>
      </c>
      <c r="H50" s="2">
        <v>4</v>
      </c>
      <c r="I50" s="4">
        <v>13.23</v>
      </c>
      <c r="J50" s="5">
        <v>0.05</v>
      </c>
    </row>
    <row r="51" spans="1:10" x14ac:dyDescent="0.25">
      <c r="A51" s="2" t="s">
        <v>123</v>
      </c>
      <c r="B51" s="3">
        <v>44989</v>
      </c>
      <c r="C51" s="2" t="s">
        <v>124</v>
      </c>
      <c r="D51" s="2" t="s">
        <v>17</v>
      </c>
      <c r="E51" s="2" t="s">
        <v>23</v>
      </c>
      <c r="F51" s="2" t="s">
        <v>35</v>
      </c>
      <c r="G51" s="4">
        <v>71.23</v>
      </c>
      <c r="H51" s="2">
        <v>1</v>
      </c>
      <c r="I51" s="4">
        <v>10.199999999999999</v>
      </c>
      <c r="J51" s="5">
        <v>0</v>
      </c>
    </row>
    <row r="52" spans="1:10" x14ac:dyDescent="0.25">
      <c r="A52" s="2" t="s">
        <v>125</v>
      </c>
      <c r="B52" s="3">
        <v>44991</v>
      </c>
      <c r="C52" s="2" t="s">
        <v>120</v>
      </c>
      <c r="D52" s="2" t="s">
        <v>38</v>
      </c>
      <c r="E52" s="2" t="s">
        <v>13</v>
      </c>
      <c r="F52" s="2" t="s">
        <v>20</v>
      </c>
      <c r="G52" s="4">
        <v>39.590000000000003</v>
      </c>
      <c r="H52" s="2">
        <v>1</v>
      </c>
      <c r="I52" s="4">
        <v>11.89</v>
      </c>
      <c r="J52" s="5">
        <v>0</v>
      </c>
    </row>
    <row r="53" spans="1:10" x14ac:dyDescent="0.25">
      <c r="A53" s="2" t="s">
        <v>126</v>
      </c>
      <c r="B53" s="3">
        <v>44993</v>
      </c>
      <c r="C53" s="2" t="s">
        <v>127</v>
      </c>
      <c r="D53" s="2" t="s">
        <v>12</v>
      </c>
      <c r="E53" s="2" t="s">
        <v>27</v>
      </c>
      <c r="F53" s="2" t="s">
        <v>43</v>
      </c>
      <c r="G53" s="4">
        <v>1752.98</v>
      </c>
      <c r="H53" s="2">
        <v>7</v>
      </c>
      <c r="I53" s="4">
        <v>-32.22</v>
      </c>
      <c r="J53" s="5">
        <v>0.15</v>
      </c>
    </row>
    <row r="54" spans="1:10" x14ac:dyDescent="0.25">
      <c r="A54" s="2" t="s">
        <v>128</v>
      </c>
      <c r="B54" s="3">
        <v>44993</v>
      </c>
      <c r="C54" s="2" t="s">
        <v>129</v>
      </c>
      <c r="D54" s="2" t="s">
        <v>12</v>
      </c>
      <c r="E54" s="2" t="s">
        <v>27</v>
      </c>
      <c r="F54" s="2" t="s">
        <v>43</v>
      </c>
      <c r="G54" s="4">
        <v>892.75</v>
      </c>
      <c r="H54" s="2">
        <v>9</v>
      </c>
      <c r="I54" s="4">
        <v>154.66</v>
      </c>
      <c r="J54" s="5">
        <v>0</v>
      </c>
    </row>
    <row r="55" spans="1:10" x14ac:dyDescent="0.25">
      <c r="A55" s="2" t="s">
        <v>130</v>
      </c>
      <c r="B55" s="3">
        <v>44993</v>
      </c>
      <c r="C55" s="2" t="s">
        <v>131</v>
      </c>
      <c r="D55" s="2" t="s">
        <v>38</v>
      </c>
      <c r="E55" s="2" t="s">
        <v>27</v>
      </c>
      <c r="F55" s="2" t="s">
        <v>114</v>
      </c>
      <c r="G55" s="4">
        <v>2187.88</v>
      </c>
      <c r="H55" s="2">
        <v>10</v>
      </c>
      <c r="I55" s="4">
        <v>-32.83</v>
      </c>
      <c r="J55" s="5">
        <v>0.3</v>
      </c>
    </row>
    <row r="56" spans="1:10" x14ac:dyDescent="0.25">
      <c r="A56" s="2" t="s">
        <v>132</v>
      </c>
      <c r="B56" s="3">
        <v>44993</v>
      </c>
      <c r="C56" s="2" t="s">
        <v>133</v>
      </c>
      <c r="D56" s="2" t="s">
        <v>17</v>
      </c>
      <c r="E56" s="2" t="s">
        <v>23</v>
      </c>
      <c r="F56" s="2" t="s">
        <v>24</v>
      </c>
      <c r="G56" s="4">
        <v>1085.68</v>
      </c>
      <c r="H56" s="2">
        <v>10</v>
      </c>
      <c r="I56" s="4">
        <v>30.08</v>
      </c>
      <c r="J56" s="5">
        <v>0.3</v>
      </c>
    </row>
    <row r="57" spans="1:10" x14ac:dyDescent="0.25">
      <c r="A57" s="2" t="s">
        <v>134</v>
      </c>
      <c r="B57" s="3">
        <v>44994</v>
      </c>
      <c r="C57" s="2" t="s">
        <v>135</v>
      </c>
      <c r="D57" s="2" t="s">
        <v>12</v>
      </c>
      <c r="E57" s="2" t="s">
        <v>13</v>
      </c>
      <c r="F57" s="2" t="s">
        <v>54</v>
      </c>
      <c r="G57" s="4">
        <v>222.63</v>
      </c>
      <c r="H57" s="2">
        <v>9</v>
      </c>
      <c r="I57" s="4">
        <v>46.08</v>
      </c>
      <c r="J57" s="5">
        <v>0.1</v>
      </c>
    </row>
    <row r="58" spans="1:10" x14ac:dyDescent="0.25">
      <c r="A58" s="2" t="s">
        <v>136</v>
      </c>
      <c r="B58" s="3">
        <v>44994</v>
      </c>
      <c r="C58" s="2" t="s">
        <v>137</v>
      </c>
      <c r="D58" s="2" t="s">
        <v>38</v>
      </c>
      <c r="E58" s="2" t="s">
        <v>27</v>
      </c>
      <c r="F58" s="2" t="s">
        <v>66</v>
      </c>
      <c r="G58" s="4">
        <v>3152.16</v>
      </c>
      <c r="H58" s="2">
        <v>11</v>
      </c>
      <c r="I58" s="4">
        <v>166.42</v>
      </c>
      <c r="J58" s="5">
        <v>0</v>
      </c>
    </row>
    <row r="59" spans="1:10" x14ac:dyDescent="0.25">
      <c r="A59" s="2" t="s">
        <v>138</v>
      </c>
      <c r="B59" s="3">
        <v>44995</v>
      </c>
      <c r="C59" s="2" t="s">
        <v>139</v>
      </c>
      <c r="D59" s="2" t="s">
        <v>42</v>
      </c>
      <c r="E59" s="2" t="s">
        <v>13</v>
      </c>
      <c r="F59" s="2" t="s">
        <v>20</v>
      </c>
      <c r="G59" s="4">
        <v>16.850000000000001</v>
      </c>
      <c r="H59" s="2">
        <v>1</v>
      </c>
      <c r="I59" s="4">
        <v>2.77</v>
      </c>
      <c r="J59" s="5">
        <v>0.3</v>
      </c>
    </row>
    <row r="60" spans="1:10" x14ac:dyDescent="0.25">
      <c r="A60" s="2" t="s">
        <v>140</v>
      </c>
      <c r="B60" s="3">
        <v>44996</v>
      </c>
      <c r="C60" s="2" t="s">
        <v>141</v>
      </c>
      <c r="D60" s="2" t="s">
        <v>17</v>
      </c>
      <c r="E60" s="2" t="s">
        <v>27</v>
      </c>
      <c r="F60" s="2" t="s">
        <v>43</v>
      </c>
      <c r="G60" s="4">
        <v>3252.48</v>
      </c>
      <c r="H60" s="2">
        <v>9</v>
      </c>
      <c r="I60" s="4">
        <v>881.72</v>
      </c>
      <c r="J60" s="5">
        <v>0.05</v>
      </c>
    </row>
    <row r="61" spans="1:10" x14ac:dyDescent="0.25">
      <c r="A61" s="2" t="s">
        <v>142</v>
      </c>
      <c r="B61" s="3">
        <v>44997</v>
      </c>
      <c r="C61" s="2" t="s">
        <v>143</v>
      </c>
      <c r="D61" s="2" t="s">
        <v>12</v>
      </c>
      <c r="E61" s="2" t="s">
        <v>23</v>
      </c>
      <c r="F61" s="2" t="s">
        <v>35</v>
      </c>
      <c r="G61" s="4">
        <v>1643.43</v>
      </c>
      <c r="H61" s="2">
        <v>10</v>
      </c>
      <c r="I61" s="4">
        <v>355.76</v>
      </c>
      <c r="J61" s="5">
        <v>0</v>
      </c>
    </row>
    <row r="62" spans="1:10" x14ac:dyDescent="0.25">
      <c r="A62" s="2" t="s">
        <v>144</v>
      </c>
      <c r="B62" s="3">
        <v>44998</v>
      </c>
      <c r="C62" s="2" t="s">
        <v>145</v>
      </c>
      <c r="D62" s="2" t="s">
        <v>38</v>
      </c>
      <c r="E62" s="2" t="s">
        <v>23</v>
      </c>
      <c r="F62" s="2" t="s">
        <v>39</v>
      </c>
      <c r="G62" s="4">
        <v>644.07000000000005</v>
      </c>
      <c r="H62" s="2">
        <v>6</v>
      </c>
      <c r="I62" s="4">
        <v>108.28</v>
      </c>
      <c r="J62" s="5">
        <v>0.1</v>
      </c>
    </row>
    <row r="63" spans="1:10" x14ac:dyDescent="0.25">
      <c r="A63" s="2" t="s">
        <v>146</v>
      </c>
      <c r="B63" s="3">
        <v>44998</v>
      </c>
      <c r="C63" s="2" t="s">
        <v>147</v>
      </c>
      <c r="D63" s="2" t="s">
        <v>12</v>
      </c>
      <c r="E63" s="2" t="s">
        <v>13</v>
      </c>
      <c r="F63" s="2" t="s">
        <v>14</v>
      </c>
      <c r="G63" s="4">
        <v>95.46</v>
      </c>
      <c r="H63" s="2">
        <v>4</v>
      </c>
      <c r="I63" s="4">
        <v>19.03</v>
      </c>
      <c r="J63" s="5">
        <v>0.2</v>
      </c>
    </row>
    <row r="64" spans="1:10" x14ac:dyDescent="0.25">
      <c r="A64" s="2" t="s">
        <v>148</v>
      </c>
      <c r="B64" s="3">
        <v>45003</v>
      </c>
      <c r="C64" s="2" t="s">
        <v>149</v>
      </c>
      <c r="D64" s="2" t="s">
        <v>12</v>
      </c>
      <c r="E64" s="2" t="s">
        <v>23</v>
      </c>
      <c r="F64" s="2" t="s">
        <v>24</v>
      </c>
      <c r="G64" s="4">
        <v>725.21</v>
      </c>
      <c r="H64" s="2">
        <v>3</v>
      </c>
      <c r="I64" s="4">
        <v>237.49</v>
      </c>
      <c r="J64" s="5">
        <v>0</v>
      </c>
    </row>
    <row r="65" spans="1:10" x14ac:dyDescent="0.25">
      <c r="A65" s="2" t="s">
        <v>150</v>
      </c>
      <c r="B65" s="3">
        <v>45003</v>
      </c>
      <c r="C65" s="2" t="s">
        <v>151</v>
      </c>
      <c r="D65" s="2" t="s">
        <v>38</v>
      </c>
      <c r="E65" s="2" t="s">
        <v>23</v>
      </c>
      <c r="F65" s="2" t="s">
        <v>24</v>
      </c>
      <c r="G65" s="4">
        <v>673.99</v>
      </c>
      <c r="H65" s="2">
        <v>3</v>
      </c>
      <c r="I65" s="4">
        <v>29.84</v>
      </c>
      <c r="J65" s="5">
        <v>0.05</v>
      </c>
    </row>
    <row r="66" spans="1:10" x14ac:dyDescent="0.25">
      <c r="A66" s="2" t="s">
        <v>152</v>
      </c>
      <c r="B66" s="3">
        <v>45004</v>
      </c>
      <c r="C66" s="2" t="s">
        <v>153</v>
      </c>
      <c r="D66" s="2" t="s">
        <v>17</v>
      </c>
      <c r="E66" s="2" t="s">
        <v>23</v>
      </c>
      <c r="F66" s="2" t="s">
        <v>39</v>
      </c>
      <c r="G66" s="4">
        <v>740.97</v>
      </c>
      <c r="H66" s="2">
        <v>3</v>
      </c>
      <c r="I66" s="4">
        <v>-64.489999999999995</v>
      </c>
      <c r="J66" s="5">
        <v>0.3</v>
      </c>
    </row>
    <row r="67" spans="1:10" x14ac:dyDescent="0.25">
      <c r="A67" s="2" t="s">
        <v>154</v>
      </c>
      <c r="B67" s="3">
        <v>45005</v>
      </c>
      <c r="C67" s="2" t="s">
        <v>155</v>
      </c>
      <c r="D67" s="2" t="s">
        <v>42</v>
      </c>
      <c r="E67" s="2" t="s">
        <v>27</v>
      </c>
      <c r="F67" s="2" t="s">
        <v>28</v>
      </c>
      <c r="G67" s="4">
        <v>663.45</v>
      </c>
      <c r="H67" s="2">
        <v>5</v>
      </c>
      <c r="I67" s="4">
        <v>162.04</v>
      </c>
      <c r="J67" s="5">
        <v>0.15</v>
      </c>
    </row>
    <row r="68" spans="1:10" x14ac:dyDescent="0.25">
      <c r="A68" s="2" t="s">
        <v>156</v>
      </c>
      <c r="B68" s="3">
        <v>45005</v>
      </c>
      <c r="C68" s="2" t="s">
        <v>157</v>
      </c>
      <c r="D68" s="2" t="s">
        <v>42</v>
      </c>
      <c r="E68" s="2" t="s">
        <v>13</v>
      </c>
      <c r="F68" s="2" t="s">
        <v>20</v>
      </c>
      <c r="G68" s="4">
        <v>190.31</v>
      </c>
      <c r="H68" s="2">
        <v>7</v>
      </c>
      <c r="I68" s="4">
        <v>12.98</v>
      </c>
      <c r="J68" s="5">
        <v>0.15</v>
      </c>
    </row>
    <row r="69" spans="1:10" x14ac:dyDescent="0.25">
      <c r="A69" s="2" t="s">
        <v>158</v>
      </c>
      <c r="B69" s="3">
        <v>45006</v>
      </c>
      <c r="C69" s="2" t="s">
        <v>159</v>
      </c>
      <c r="D69" s="2" t="s">
        <v>12</v>
      </c>
      <c r="E69" s="2" t="s">
        <v>13</v>
      </c>
      <c r="F69" s="2" t="s">
        <v>80</v>
      </c>
      <c r="G69" s="4">
        <v>155.62</v>
      </c>
      <c r="H69" s="2">
        <v>6</v>
      </c>
      <c r="I69" s="4">
        <v>42.7</v>
      </c>
      <c r="J69" s="5">
        <v>0</v>
      </c>
    </row>
    <row r="70" spans="1:10" x14ac:dyDescent="0.25">
      <c r="A70" s="2" t="s">
        <v>160</v>
      </c>
      <c r="B70" s="3">
        <v>45007</v>
      </c>
      <c r="C70" s="2" t="s">
        <v>161</v>
      </c>
      <c r="D70" s="2" t="s">
        <v>42</v>
      </c>
      <c r="E70" s="2" t="s">
        <v>23</v>
      </c>
      <c r="F70" s="2" t="s">
        <v>24</v>
      </c>
      <c r="G70" s="4">
        <v>1191.32</v>
      </c>
      <c r="H70" s="2">
        <v>10</v>
      </c>
      <c r="I70" s="4">
        <v>90.18</v>
      </c>
      <c r="J70" s="5">
        <v>0.2</v>
      </c>
    </row>
    <row r="71" spans="1:10" x14ac:dyDescent="0.25">
      <c r="A71" s="2" t="s">
        <v>160</v>
      </c>
      <c r="B71" s="3">
        <v>45007</v>
      </c>
      <c r="C71" s="2" t="s">
        <v>161</v>
      </c>
      <c r="D71" s="2" t="s">
        <v>42</v>
      </c>
      <c r="E71" s="2" t="s">
        <v>23</v>
      </c>
      <c r="F71" s="2" t="s">
        <v>24</v>
      </c>
      <c r="G71" s="4">
        <v>1191.32</v>
      </c>
      <c r="H71" s="2">
        <v>10</v>
      </c>
      <c r="I71" s="4">
        <v>90.18</v>
      </c>
      <c r="J71" s="5">
        <v>0.2</v>
      </c>
    </row>
    <row r="72" spans="1:10" x14ac:dyDescent="0.25">
      <c r="A72" s="2" t="s">
        <v>162</v>
      </c>
      <c r="B72" s="3">
        <v>45007</v>
      </c>
      <c r="C72" s="2" t="s">
        <v>163</v>
      </c>
      <c r="D72" s="2" t="s">
        <v>12</v>
      </c>
      <c r="E72" s="2" t="s">
        <v>27</v>
      </c>
      <c r="F72" s="2" t="s">
        <v>43</v>
      </c>
      <c r="G72" s="4">
        <v>387.45</v>
      </c>
      <c r="H72" s="2">
        <v>1</v>
      </c>
      <c r="I72" s="4">
        <v>97.86</v>
      </c>
      <c r="J72" s="5">
        <v>0</v>
      </c>
    </row>
    <row r="73" spans="1:10" x14ac:dyDescent="0.25">
      <c r="A73" s="2" t="s">
        <v>164</v>
      </c>
      <c r="B73" s="3">
        <v>45011</v>
      </c>
      <c r="C73" s="2" t="s">
        <v>165</v>
      </c>
      <c r="D73" s="2" t="s">
        <v>17</v>
      </c>
      <c r="E73" s="2" t="s">
        <v>27</v>
      </c>
      <c r="F73" s="2" t="s">
        <v>106</v>
      </c>
      <c r="G73" s="4">
        <v>1245.55</v>
      </c>
      <c r="H73" s="2">
        <v>10</v>
      </c>
      <c r="I73" s="4">
        <v>275.29000000000002</v>
      </c>
      <c r="J73" s="5">
        <v>0</v>
      </c>
    </row>
    <row r="74" spans="1:10" x14ac:dyDescent="0.25">
      <c r="A74" s="2" t="s">
        <v>166</v>
      </c>
      <c r="B74" s="3">
        <v>45011</v>
      </c>
      <c r="C74" s="2" t="s">
        <v>167</v>
      </c>
      <c r="D74" s="2" t="s">
        <v>38</v>
      </c>
      <c r="E74" s="2" t="s">
        <v>23</v>
      </c>
      <c r="F74" s="2" t="s">
        <v>35</v>
      </c>
      <c r="G74" s="4">
        <v>1208.1300000000001</v>
      </c>
      <c r="H74" s="2">
        <v>5</v>
      </c>
      <c r="I74" s="4">
        <v>282.56</v>
      </c>
      <c r="J74" s="5">
        <v>0.05</v>
      </c>
    </row>
    <row r="75" spans="1:10" x14ac:dyDescent="0.25">
      <c r="A75" s="2" t="s">
        <v>168</v>
      </c>
      <c r="B75" s="3">
        <v>45012</v>
      </c>
      <c r="C75" s="2" t="s">
        <v>169</v>
      </c>
      <c r="D75" s="2" t="s">
        <v>42</v>
      </c>
      <c r="E75" s="2" t="s">
        <v>23</v>
      </c>
      <c r="F75" s="2" t="s">
        <v>71</v>
      </c>
      <c r="G75" s="4">
        <v>1350.92</v>
      </c>
      <c r="H75" s="2">
        <v>6</v>
      </c>
      <c r="I75" s="4">
        <v>160.11000000000001</v>
      </c>
      <c r="J75" s="5">
        <v>0</v>
      </c>
    </row>
    <row r="76" spans="1:10" x14ac:dyDescent="0.25">
      <c r="A76" s="2" t="s">
        <v>170</v>
      </c>
      <c r="B76" s="3">
        <v>45013</v>
      </c>
      <c r="C76" s="2" t="s">
        <v>171</v>
      </c>
      <c r="D76" s="2" t="s">
        <v>12</v>
      </c>
      <c r="E76" s="2" t="s">
        <v>13</v>
      </c>
      <c r="F76" s="2" t="s">
        <v>14</v>
      </c>
      <c r="G76" s="4">
        <v>66.27</v>
      </c>
      <c r="H76" s="2">
        <v>3</v>
      </c>
      <c r="I76" s="4">
        <v>13.73</v>
      </c>
      <c r="J76" s="5">
        <v>0</v>
      </c>
    </row>
    <row r="77" spans="1:10" x14ac:dyDescent="0.25">
      <c r="A77" s="2" t="s">
        <v>172</v>
      </c>
      <c r="B77" s="3">
        <v>45017</v>
      </c>
      <c r="C77" s="2" t="s">
        <v>173</v>
      </c>
      <c r="D77" s="2" t="s">
        <v>12</v>
      </c>
      <c r="E77" s="2" t="s">
        <v>27</v>
      </c>
      <c r="F77" s="2" t="s">
        <v>66</v>
      </c>
      <c r="G77" s="4">
        <v>2142.41</v>
      </c>
      <c r="H77" s="2">
        <v>8</v>
      </c>
      <c r="I77" s="4">
        <v>459.95</v>
      </c>
      <c r="J77" s="5">
        <v>0.1</v>
      </c>
    </row>
    <row r="78" spans="1:10" x14ac:dyDescent="0.25">
      <c r="A78" s="2" t="s">
        <v>174</v>
      </c>
      <c r="B78" s="3">
        <v>45018</v>
      </c>
      <c r="C78" s="2" t="s">
        <v>175</v>
      </c>
      <c r="D78" s="2" t="s">
        <v>42</v>
      </c>
      <c r="E78" s="2" t="s">
        <v>23</v>
      </c>
      <c r="F78" s="2" t="s">
        <v>71</v>
      </c>
      <c r="G78" s="4">
        <v>404.75</v>
      </c>
      <c r="H78" s="2">
        <v>10</v>
      </c>
      <c r="I78" s="4">
        <v>13.64</v>
      </c>
      <c r="J78" s="5">
        <v>0.2</v>
      </c>
    </row>
    <row r="79" spans="1:10" x14ac:dyDescent="0.25">
      <c r="A79" s="2" t="s">
        <v>176</v>
      </c>
      <c r="B79" s="3">
        <v>45019</v>
      </c>
      <c r="C79" s="2" t="s">
        <v>177</v>
      </c>
      <c r="D79" s="2" t="s">
        <v>42</v>
      </c>
      <c r="E79" s="2" t="s">
        <v>27</v>
      </c>
      <c r="F79" s="2" t="s">
        <v>28</v>
      </c>
      <c r="G79" s="4">
        <v>975.19</v>
      </c>
      <c r="H79" s="2">
        <v>3</v>
      </c>
      <c r="I79" s="4">
        <v>41.29</v>
      </c>
      <c r="J79" s="5">
        <v>0.2</v>
      </c>
    </row>
    <row r="80" spans="1:10" x14ac:dyDescent="0.25">
      <c r="A80" s="2" t="s">
        <v>178</v>
      </c>
      <c r="B80" s="3">
        <v>45019</v>
      </c>
      <c r="C80" s="2" t="s">
        <v>179</v>
      </c>
      <c r="D80" s="2" t="s">
        <v>12</v>
      </c>
      <c r="E80" s="2" t="s">
        <v>23</v>
      </c>
      <c r="F80" s="2" t="s">
        <v>35</v>
      </c>
      <c r="G80" s="4">
        <v>646.82000000000005</v>
      </c>
      <c r="H80" s="2">
        <v>12</v>
      </c>
      <c r="I80" s="4">
        <v>-75.61</v>
      </c>
      <c r="J80" s="5">
        <v>0.3</v>
      </c>
    </row>
    <row r="81" spans="1:10" x14ac:dyDescent="0.25">
      <c r="A81" s="2" t="s">
        <v>180</v>
      </c>
      <c r="B81" s="3">
        <v>45019</v>
      </c>
      <c r="C81" s="2" t="s">
        <v>181</v>
      </c>
      <c r="D81" s="2" t="s">
        <v>42</v>
      </c>
      <c r="E81" s="2" t="s">
        <v>23</v>
      </c>
      <c r="F81" s="2" t="s">
        <v>39</v>
      </c>
      <c r="G81" s="4">
        <v>828.55</v>
      </c>
      <c r="H81" s="2">
        <v>9</v>
      </c>
      <c r="I81" s="4">
        <v>67.900000000000006</v>
      </c>
      <c r="J81" s="5">
        <v>0.1</v>
      </c>
    </row>
    <row r="82" spans="1:10" x14ac:dyDescent="0.25">
      <c r="A82" s="2" t="s">
        <v>182</v>
      </c>
      <c r="B82" s="3">
        <v>45020</v>
      </c>
      <c r="C82" s="2" t="s">
        <v>183</v>
      </c>
      <c r="D82" s="2" t="s">
        <v>12</v>
      </c>
      <c r="E82" s="2" t="s">
        <v>23</v>
      </c>
      <c r="F82" s="2" t="s">
        <v>59</v>
      </c>
      <c r="G82" s="4">
        <v>1586.75</v>
      </c>
      <c r="H82" s="2">
        <v>10</v>
      </c>
      <c r="I82" s="4">
        <v>525.22</v>
      </c>
      <c r="J82" s="5">
        <v>0</v>
      </c>
    </row>
    <row r="83" spans="1:10" x14ac:dyDescent="0.25">
      <c r="A83" s="2" t="s">
        <v>184</v>
      </c>
      <c r="B83" s="3">
        <v>45022</v>
      </c>
      <c r="C83" s="2" t="s">
        <v>185</v>
      </c>
      <c r="D83" s="2" t="s">
        <v>38</v>
      </c>
      <c r="E83" s="2" t="s">
        <v>13</v>
      </c>
      <c r="F83" s="2" t="s">
        <v>14</v>
      </c>
      <c r="G83" s="4">
        <v>207.3</v>
      </c>
      <c r="H83" s="2">
        <v>11</v>
      </c>
      <c r="I83" s="4">
        <v>32.11</v>
      </c>
      <c r="J83" s="5">
        <v>0.05</v>
      </c>
    </row>
    <row r="84" spans="1:10" x14ac:dyDescent="0.25">
      <c r="A84" s="2" t="s">
        <v>186</v>
      </c>
      <c r="B84" s="3">
        <v>45022</v>
      </c>
      <c r="C84" s="2" t="s">
        <v>187</v>
      </c>
      <c r="D84" s="2" t="s">
        <v>38</v>
      </c>
      <c r="E84" s="2" t="s">
        <v>23</v>
      </c>
      <c r="F84" s="2" t="s">
        <v>39</v>
      </c>
      <c r="G84" s="4">
        <v>115.71</v>
      </c>
      <c r="H84" s="2">
        <v>5</v>
      </c>
      <c r="I84" s="4">
        <v>24.78</v>
      </c>
      <c r="J84" s="5">
        <v>0.05</v>
      </c>
    </row>
    <row r="85" spans="1:10" x14ac:dyDescent="0.25">
      <c r="A85" s="2" t="s">
        <v>188</v>
      </c>
      <c r="B85" s="3">
        <v>45022</v>
      </c>
      <c r="C85" s="2" t="s">
        <v>189</v>
      </c>
      <c r="D85" s="2" t="s">
        <v>38</v>
      </c>
      <c r="E85" s="2" t="s">
        <v>27</v>
      </c>
      <c r="F85" s="2" t="s">
        <v>66</v>
      </c>
      <c r="G85" s="4">
        <v>315.72000000000003</v>
      </c>
      <c r="H85" s="2">
        <v>1</v>
      </c>
      <c r="I85" s="4">
        <v>22.94</v>
      </c>
      <c r="J85" s="5">
        <v>0.05</v>
      </c>
    </row>
    <row r="86" spans="1:10" x14ac:dyDescent="0.25">
      <c r="A86" s="2" t="s">
        <v>190</v>
      </c>
      <c r="B86" s="3">
        <v>45023</v>
      </c>
      <c r="C86" s="2" t="s">
        <v>147</v>
      </c>
      <c r="D86" s="2" t="s">
        <v>17</v>
      </c>
      <c r="E86" s="2" t="s">
        <v>27</v>
      </c>
      <c r="F86" s="2" t="s">
        <v>28</v>
      </c>
      <c r="G86" s="4">
        <v>3899.48</v>
      </c>
      <c r="H86" s="2">
        <v>12</v>
      </c>
      <c r="I86" s="4">
        <v>476.52</v>
      </c>
      <c r="J86" s="5">
        <v>0</v>
      </c>
    </row>
    <row r="87" spans="1:10" x14ac:dyDescent="0.25">
      <c r="A87" s="2" t="s">
        <v>191</v>
      </c>
      <c r="B87" s="3">
        <v>45024</v>
      </c>
      <c r="C87" s="2" t="s">
        <v>192</v>
      </c>
      <c r="D87" s="2" t="s">
        <v>42</v>
      </c>
      <c r="E87" s="2" t="s">
        <v>23</v>
      </c>
      <c r="F87" s="2" t="s">
        <v>35</v>
      </c>
      <c r="G87" s="4">
        <v>112.05</v>
      </c>
      <c r="H87" s="2">
        <v>1</v>
      </c>
      <c r="I87" s="4">
        <v>16.04</v>
      </c>
      <c r="J87" s="5">
        <v>0.05</v>
      </c>
    </row>
    <row r="88" spans="1:10" x14ac:dyDescent="0.25">
      <c r="A88" s="2" t="s">
        <v>191</v>
      </c>
      <c r="B88" s="3">
        <v>45024</v>
      </c>
      <c r="C88" s="2" t="s">
        <v>192</v>
      </c>
      <c r="D88" s="2" t="s">
        <v>42</v>
      </c>
      <c r="E88" s="2" t="s">
        <v>23</v>
      </c>
      <c r="F88" s="2" t="s">
        <v>35</v>
      </c>
      <c r="G88" s="4">
        <v>112.05</v>
      </c>
      <c r="H88" s="2">
        <v>1</v>
      </c>
      <c r="I88" s="4">
        <v>16.04</v>
      </c>
      <c r="J88" s="5">
        <v>0.05</v>
      </c>
    </row>
    <row r="89" spans="1:10" x14ac:dyDescent="0.25">
      <c r="A89" s="2" t="s">
        <v>193</v>
      </c>
      <c r="B89" s="3">
        <v>45024</v>
      </c>
      <c r="C89" s="2" t="s">
        <v>194</v>
      </c>
      <c r="D89" s="2" t="s">
        <v>42</v>
      </c>
      <c r="E89" s="2" t="s">
        <v>13</v>
      </c>
      <c r="F89" s="2" t="s">
        <v>14</v>
      </c>
      <c r="G89" s="4">
        <v>101.31</v>
      </c>
      <c r="H89" s="2">
        <v>5</v>
      </c>
      <c r="I89" s="4">
        <v>13.1</v>
      </c>
      <c r="J89" s="5">
        <v>0.05</v>
      </c>
    </row>
    <row r="90" spans="1:10" x14ac:dyDescent="0.25">
      <c r="A90" s="2" t="s">
        <v>195</v>
      </c>
      <c r="B90" s="3">
        <v>45026</v>
      </c>
      <c r="C90" s="2" t="s">
        <v>143</v>
      </c>
      <c r="D90" s="2" t="s">
        <v>12</v>
      </c>
      <c r="E90" s="2" t="s">
        <v>23</v>
      </c>
      <c r="F90" s="2" t="s">
        <v>59</v>
      </c>
      <c r="G90" s="4">
        <v>868.04</v>
      </c>
      <c r="H90" s="2">
        <v>12</v>
      </c>
      <c r="I90" s="4">
        <v>275.86</v>
      </c>
      <c r="J90" s="5">
        <v>0</v>
      </c>
    </row>
    <row r="91" spans="1:10" x14ac:dyDescent="0.25">
      <c r="A91" s="2" t="s">
        <v>196</v>
      </c>
      <c r="B91" s="3">
        <v>45027</v>
      </c>
      <c r="C91" s="2" t="s">
        <v>197</v>
      </c>
      <c r="D91" s="2" t="s">
        <v>12</v>
      </c>
      <c r="E91" s="2" t="s">
        <v>23</v>
      </c>
      <c r="F91" s="2" t="s">
        <v>198</v>
      </c>
      <c r="G91" s="4">
        <v>436.48</v>
      </c>
      <c r="H91" s="2">
        <v>6</v>
      </c>
      <c r="I91" s="4">
        <v>16.239999999999998</v>
      </c>
      <c r="J91" s="5">
        <v>0.15</v>
      </c>
    </row>
    <row r="92" spans="1:10" x14ac:dyDescent="0.25">
      <c r="A92" s="2" t="s">
        <v>199</v>
      </c>
      <c r="B92" s="3">
        <v>45033</v>
      </c>
      <c r="C92" s="2" t="s">
        <v>200</v>
      </c>
      <c r="D92" s="2" t="s">
        <v>42</v>
      </c>
      <c r="E92" s="2" t="s">
        <v>13</v>
      </c>
      <c r="F92" s="2" t="s">
        <v>80</v>
      </c>
      <c r="G92" s="4">
        <v>309.26</v>
      </c>
      <c r="H92" s="2">
        <v>11</v>
      </c>
      <c r="I92" s="4">
        <v>66.680000000000007</v>
      </c>
      <c r="J92" s="5">
        <v>0</v>
      </c>
    </row>
    <row r="93" spans="1:10" x14ac:dyDescent="0.25">
      <c r="A93" s="2" t="s">
        <v>201</v>
      </c>
      <c r="B93" s="3">
        <v>45033</v>
      </c>
      <c r="C93" s="2" t="s">
        <v>202</v>
      </c>
      <c r="D93" s="2" t="s">
        <v>42</v>
      </c>
      <c r="E93" s="2" t="s">
        <v>23</v>
      </c>
      <c r="F93" s="2" t="s">
        <v>39</v>
      </c>
      <c r="G93" s="4">
        <v>1246.3800000000001</v>
      </c>
      <c r="H93" s="2">
        <v>9</v>
      </c>
      <c r="I93" s="4">
        <v>307.86</v>
      </c>
      <c r="J93" s="5">
        <v>0.15</v>
      </c>
    </row>
    <row r="94" spans="1:10" x14ac:dyDescent="0.25">
      <c r="A94" s="2" t="s">
        <v>203</v>
      </c>
      <c r="B94" s="3">
        <v>45033</v>
      </c>
      <c r="C94" s="2" t="s">
        <v>204</v>
      </c>
      <c r="D94" s="2" t="s">
        <v>38</v>
      </c>
      <c r="E94" s="2" t="s">
        <v>27</v>
      </c>
      <c r="F94" s="2" t="s">
        <v>114</v>
      </c>
      <c r="G94" s="4">
        <v>1491.04</v>
      </c>
      <c r="H94" s="2">
        <v>10</v>
      </c>
      <c r="I94" s="4">
        <v>427.32</v>
      </c>
      <c r="J94" s="5">
        <v>0</v>
      </c>
    </row>
    <row r="95" spans="1:10" x14ac:dyDescent="0.25">
      <c r="A95" s="2" t="s">
        <v>205</v>
      </c>
      <c r="B95" s="3">
        <v>45034</v>
      </c>
      <c r="C95" s="2" t="s">
        <v>73</v>
      </c>
      <c r="D95" s="2" t="s">
        <v>17</v>
      </c>
      <c r="E95" s="2" t="s">
        <v>27</v>
      </c>
      <c r="F95" s="2" t="s">
        <v>66</v>
      </c>
      <c r="G95" s="4">
        <v>1758.34</v>
      </c>
      <c r="H95" s="2">
        <v>11</v>
      </c>
      <c r="I95" s="4">
        <v>390.62</v>
      </c>
      <c r="J95" s="5">
        <v>0</v>
      </c>
    </row>
    <row r="96" spans="1:10" x14ac:dyDescent="0.25">
      <c r="A96" s="2" t="s">
        <v>206</v>
      </c>
      <c r="B96" s="3">
        <v>45035</v>
      </c>
      <c r="C96" s="2" t="s">
        <v>207</v>
      </c>
      <c r="D96" s="2" t="s">
        <v>42</v>
      </c>
      <c r="E96" s="2" t="s">
        <v>13</v>
      </c>
      <c r="F96" s="2" t="s">
        <v>51</v>
      </c>
      <c r="G96" s="4">
        <v>221.08</v>
      </c>
      <c r="H96" s="2">
        <v>7</v>
      </c>
      <c r="I96" s="4">
        <v>45.23</v>
      </c>
      <c r="J96" s="5">
        <v>0</v>
      </c>
    </row>
    <row r="97" spans="1:10" x14ac:dyDescent="0.25">
      <c r="A97" s="2" t="s">
        <v>208</v>
      </c>
      <c r="B97" s="3">
        <v>45036</v>
      </c>
      <c r="C97" s="2" t="s">
        <v>209</v>
      </c>
      <c r="D97" s="2" t="s">
        <v>12</v>
      </c>
      <c r="E97" s="2" t="s">
        <v>27</v>
      </c>
      <c r="F97" s="2" t="s">
        <v>106</v>
      </c>
      <c r="G97" s="4">
        <v>2581.4699999999998</v>
      </c>
      <c r="H97" s="2">
        <v>7</v>
      </c>
      <c r="I97" s="4">
        <v>24.68</v>
      </c>
      <c r="J97" s="5">
        <v>0.2</v>
      </c>
    </row>
    <row r="98" spans="1:10" x14ac:dyDescent="0.25">
      <c r="A98" s="2" t="s">
        <v>210</v>
      </c>
      <c r="B98" s="3">
        <v>45036</v>
      </c>
      <c r="C98" s="2" t="s">
        <v>204</v>
      </c>
      <c r="D98" s="2" t="s">
        <v>42</v>
      </c>
      <c r="E98" s="2" t="s">
        <v>23</v>
      </c>
      <c r="F98" s="2" t="s">
        <v>24</v>
      </c>
      <c r="G98" s="4">
        <v>1998.03</v>
      </c>
      <c r="H98" s="2">
        <v>9</v>
      </c>
      <c r="I98" s="4">
        <v>261.45999999999998</v>
      </c>
      <c r="J98" s="5">
        <v>0.05</v>
      </c>
    </row>
    <row r="99" spans="1:10" x14ac:dyDescent="0.25">
      <c r="A99" s="2" t="s">
        <v>211</v>
      </c>
      <c r="B99" s="3">
        <v>45037</v>
      </c>
      <c r="C99" s="2" t="s">
        <v>155</v>
      </c>
      <c r="D99" s="2" t="s">
        <v>42</v>
      </c>
      <c r="E99" s="2" t="s">
        <v>23</v>
      </c>
      <c r="F99" s="2" t="s">
        <v>39</v>
      </c>
      <c r="G99" s="4">
        <v>662.54</v>
      </c>
      <c r="H99" s="2">
        <v>7</v>
      </c>
      <c r="I99" s="4">
        <v>-6.88</v>
      </c>
      <c r="J99" s="5">
        <v>0.3</v>
      </c>
    </row>
    <row r="100" spans="1:10" x14ac:dyDescent="0.25">
      <c r="A100" s="2" t="s">
        <v>212</v>
      </c>
      <c r="B100" s="3">
        <v>45039</v>
      </c>
      <c r="C100" s="2" t="s">
        <v>213</v>
      </c>
      <c r="D100" s="2" t="s">
        <v>17</v>
      </c>
      <c r="E100" s="2" t="s">
        <v>23</v>
      </c>
      <c r="F100" s="2" t="s">
        <v>71</v>
      </c>
      <c r="G100" s="4">
        <v>742.13</v>
      </c>
      <c r="H100" s="2">
        <v>3</v>
      </c>
      <c r="I100" s="4">
        <v>62.9</v>
      </c>
      <c r="J100" s="5">
        <v>0.15</v>
      </c>
    </row>
    <row r="101" spans="1:10" x14ac:dyDescent="0.25">
      <c r="A101" s="2" t="s">
        <v>214</v>
      </c>
      <c r="B101" s="3">
        <v>45039</v>
      </c>
      <c r="C101" s="2" t="s">
        <v>215</v>
      </c>
      <c r="D101" s="2" t="s">
        <v>17</v>
      </c>
      <c r="E101" s="2" t="s">
        <v>23</v>
      </c>
      <c r="F101" s="2" t="s">
        <v>35</v>
      </c>
      <c r="G101" s="4">
        <v>983.79</v>
      </c>
      <c r="H101" s="2">
        <v>10</v>
      </c>
      <c r="I101" s="4">
        <v>101.16</v>
      </c>
      <c r="J101" s="5">
        <v>0</v>
      </c>
    </row>
    <row r="102" spans="1:10" x14ac:dyDescent="0.25">
      <c r="A102" s="2" t="s">
        <v>216</v>
      </c>
      <c r="B102" s="3">
        <v>45040</v>
      </c>
      <c r="C102" s="2" t="s">
        <v>217</v>
      </c>
      <c r="D102" s="2" t="s">
        <v>38</v>
      </c>
      <c r="E102" s="2" t="s">
        <v>23</v>
      </c>
      <c r="F102" s="2" t="s">
        <v>71</v>
      </c>
      <c r="G102" s="4">
        <v>682.87</v>
      </c>
      <c r="H102" s="2">
        <v>6</v>
      </c>
      <c r="I102" s="4">
        <v>48.83</v>
      </c>
      <c r="J102" s="5">
        <v>0.15</v>
      </c>
    </row>
    <row r="103" spans="1:10" x14ac:dyDescent="0.25">
      <c r="A103" s="2" t="s">
        <v>218</v>
      </c>
      <c r="B103" s="3">
        <v>45040</v>
      </c>
      <c r="C103" s="2" t="s">
        <v>100</v>
      </c>
      <c r="D103" s="2" t="s">
        <v>42</v>
      </c>
      <c r="E103" s="2" t="s">
        <v>13</v>
      </c>
      <c r="F103" s="2" t="s">
        <v>51</v>
      </c>
      <c r="G103" s="4">
        <v>324.13</v>
      </c>
      <c r="H103" s="2">
        <v>10</v>
      </c>
      <c r="I103" s="4">
        <v>41.3</v>
      </c>
      <c r="J103" s="5">
        <v>0.1</v>
      </c>
    </row>
    <row r="104" spans="1:10" x14ac:dyDescent="0.25">
      <c r="A104" s="2" t="s">
        <v>219</v>
      </c>
      <c r="B104" s="3">
        <v>45041</v>
      </c>
      <c r="C104" s="2" t="s">
        <v>220</v>
      </c>
      <c r="D104" s="2" t="s">
        <v>42</v>
      </c>
      <c r="E104" s="2" t="s">
        <v>23</v>
      </c>
      <c r="F104" s="2" t="s">
        <v>59</v>
      </c>
      <c r="G104" s="4">
        <v>673.99</v>
      </c>
      <c r="H104" s="2">
        <v>3</v>
      </c>
      <c r="I104" s="4">
        <v>153.1</v>
      </c>
      <c r="J104" s="5">
        <v>0</v>
      </c>
    </row>
    <row r="105" spans="1:10" x14ac:dyDescent="0.25">
      <c r="A105" s="2" t="s">
        <v>221</v>
      </c>
      <c r="B105" s="3">
        <v>45042</v>
      </c>
      <c r="C105" s="2" t="s">
        <v>222</v>
      </c>
      <c r="D105" s="2" t="s">
        <v>12</v>
      </c>
      <c r="E105" s="2" t="s">
        <v>13</v>
      </c>
      <c r="F105" s="2" t="s">
        <v>54</v>
      </c>
      <c r="G105" s="4">
        <v>432.28</v>
      </c>
      <c r="H105" s="2">
        <v>11</v>
      </c>
      <c r="I105" s="4">
        <v>-5.58</v>
      </c>
      <c r="J105" s="5">
        <v>0.15</v>
      </c>
    </row>
    <row r="106" spans="1:10" x14ac:dyDescent="0.25">
      <c r="A106" s="2" t="s">
        <v>221</v>
      </c>
      <c r="B106" s="3">
        <v>45042</v>
      </c>
      <c r="C106" s="2" t="s">
        <v>222</v>
      </c>
      <c r="D106" s="2" t="s">
        <v>12</v>
      </c>
      <c r="E106" s="2" t="s">
        <v>13</v>
      </c>
      <c r="F106" s="2" t="s">
        <v>54</v>
      </c>
      <c r="G106" s="4">
        <v>432.28</v>
      </c>
      <c r="H106" s="2">
        <v>11</v>
      </c>
      <c r="I106" s="4">
        <v>-5.58</v>
      </c>
      <c r="J106" s="5">
        <v>0.15</v>
      </c>
    </row>
    <row r="107" spans="1:10" x14ac:dyDescent="0.25">
      <c r="A107" s="2" t="s">
        <v>223</v>
      </c>
      <c r="B107" s="3">
        <v>45043</v>
      </c>
      <c r="C107" s="2" t="s">
        <v>224</v>
      </c>
      <c r="D107" s="2" t="s">
        <v>42</v>
      </c>
      <c r="E107" s="2" t="s">
        <v>27</v>
      </c>
      <c r="F107" s="2" t="s">
        <v>114</v>
      </c>
      <c r="G107" s="4">
        <v>1307.06</v>
      </c>
      <c r="H107" s="2">
        <v>12</v>
      </c>
      <c r="I107" s="4">
        <v>239.33</v>
      </c>
      <c r="J107" s="5">
        <v>0</v>
      </c>
    </row>
    <row r="108" spans="1:10" x14ac:dyDescent="0.25">
      <c r="A108" s="2" t="s">
        <v>225</v>
      </c>
      <c r="B108" s="3">
        <v>45043</v>
      </c>
      <c r="C108" s="2" t="s">
        <v>131</v>
      </c>
      <c r="D108" s="2" t="s">
        <v>17</v>
      </c>
      <c r="E108" s="2" t="s">
        <v>13</v>
      </c>
      <c r="F108" s="2" t="s">
        <v>80</v>
      </c>
      <c r="G108" s="4">
        <v>93.09</v>
      </c>
      <c r="H108" s="2">
        <v>3</v>
      </c>
      <c r="I108" s="4">
        <v>3.8</v>
      </c>
      <c r="J108" s="5">
        <v>0.15</v>
      </c>
    </row>
    <row r="109" spans="1:10" x14ac:dyDescent="0.25">
      <c r="A109" s="2" t="s">
        <v>226</v>
      </c>
      <c r="B109" s="3">
        <v>45044</v>
      </c>
      <c r="C109" s="2" t="s">
        <v>227</v>
      </c>
      <c r="D109" s="2" t="s">
        <v>42</v>
      </c>
      <c r="E109" s="2" t="s">
        <v>13</v>
      </c>
      <c r="F109" s="2" t="s">
        <v>80</v>
      </c>
      <c r="G109" s="4">
        <v>116.92</v>
      </c>
      <c r="H109" s="2">
        <v>4</v>
      </c>
      <c r="I109" s="4">
        <v>0.46</v>
      </c>
      <c r="J109" s="5">
        <v>0.1</v>
      </c>
    </row>
    <row r="110" spans="1:10" x14ac:dyDescent="0.25">
      <c r="A110" s="2" t="s">
        <v>228</v>
      </c>
      <c r="B110" s="3">
        <v>45044</v>
      </c>
      <c r="C110" s="2" t="s">
        <v>229</v>
      </c>
      <c r="D110" s="2" t="s">
        <v>38</v>
      </c>
      <c r="E110" s="2" t="s">
        <v>23</v>
      </c>
      <c r="F110" s="2" t="s">
        <v>24</v>
      </c>
      <c r="G110" s="4">
        <v>30.55</v>
      </c>
      <c r="H110" s="2">
        <v>1</v>
      </c>
      <c r="I110" s="4">
        <v>0.73</v>
      </c>
      <c r="J110" s="5">
        <v>0.15</v>
      </c>
    </row>
    <row r="111" spans="1:10" x14ac:dyDescent="0.25">
      <c r="A111" s="2" t="s">
        <v>230</v>
      </c>
      <c r="B111" s="3">
        <v>45046</v>
      </c>
      <c r="C111" s="2" t="s">
        <v>16</v>
      </c>
      <c r="D111" s="2" t="s">
        <v>38</v>
      </c>
      <c r="E111" s="2" t="s">
        <v>27</v>
      </c>
      <c r="F111" s="2" t="s">
        <v>43</v>
      </c>
      <c r="G111" s="4">
        <v>3172.26</v>
      </c>
      <c r="H111" s="2">
        <v>12</v>
      </c>
      <c r="I111" s="4">
        <v>98.57</v>
      </c>
      <c r="J111" s="5">
        <v>0.15</v>
      </c>
    </row>
    <row r="112" spans="1:10" x14ac:dyDescent="0.25">
      <c r="A112" s="2" t="s">
        <v>231</v>
      </c>
      <c r="B112" s="3">
        <v>45048</v>
      </c>
      <c r="C112" s="2" t="s">
        <v>127</v>
      </c>
      <c r="D112" s="2" t="s">
        <v>42</v>
      </c>
      <c r="E112" s="2" t="s">
        <v>13</v>
      </c>
      <c r="F112" s="2" t="s">
        <v>54</v>
      </c>
      <c r="G112" s="4">
        <v>80.13</v>
      </c>
      <c r="H112" s="2">
        <v>5</v>
      </c>
      <c r="I112" s="4">
        <v>4.4400000000000004</v>
      </c>
      <c r="J112" s="5">
        <v>0.15</v>
      </c>
    </row>
    <row r="113" spans="1:10" x14ac:dyDescent="0.25">
      <c r="A113" s="2" t="s">
        <v>232</v>
      </c>
      <c r="B113" s="3">
        <v>45048</v>
      </c>
      <c r="C113" s="2" t="s">
        <v>233</v>
      </c>
      <c r="D113" s="2" t="s">
        <v>17</v>
      </c>
      <c r="E113" s="2" t="s">
        <v>27</v>
      </c>
      <c r="F113" s="2" t="s">
        <v>28</v>
      </c>
      <c r="G113" s="4">
        <v>191.77</v>
      </c>
      <c r="H113" s="2">
        <v>2</v>
      </c>
      <c r="I113" s="4">
        <v>12.72</v>
      </c>
      <c r="J113" s="5">
        <v>0</v>
      </c>
    </row>
    <row r="114" spans="1:10" x14ac:dyDescent="0.25">
      <c r="A114" s="2" t="s">
        <v>234</v>
      </c>
      <c r="B114" s="3">
        <v>45049</v>
      </c>
      <c r="C114" s="2" t="s">
        <v>235</v>
      </c>
      <c r="D114" s="2" t="s">
        <v>42</v>
      </c>
      <c r="E114" s="2" t="s">
        <v>13</v>
      </c>
      <c r="F114" s="2" t="s">
        <v>54</v>
      </c>
      <c r="G114" s="4">
        <v>105.46</v>
      </c>
      <c r="H114" s="2">
        <v>1</v>
      </c>
      <c r="I114" s="4">
        <v>2.85</v>
      </c>
      <c r="J114" s="5">
        <v>0</v>
      </c>
    </row>
    <row r="115" spans="1:10" x14ac:dyDescent="0.25">
      <c r="A115" s="2" t="s">
        <v>236</v>
      </c>
      <c r="B115" s="3">
        <v>45053</v>
      </c>
      <c r="C115" s="2" t="s">
        <v>237</v>
      </c>
      <c r="D115" s="2" t="s">
        <v>12</v>
      </c>
      <c r="E115" s="2" t="s">
        <v>13</v>
      </c>
      <c r="F115" s="2" t="s">
        <v>80</v>
      </c>
      <c r="G115" s="4">
        <v>68.430000000000007</v>
      </c>
      <c r="H115" s="2">
        <v>5</v>
      </c>
      <c r="I115" s="4">
        <v>15.31</v>
      </c>
      <c r="J115" s="5">
        <v>0.1</v>
      </c>
    </row>
    <row r="116" spans="1:10" x14ac:dyDescent="0.25">
      <c r="A116" s="2" t="s">
        <v>238</v>
      </c>
      <c r="B116" s="3">
        <v>45054</v>
      </c>
      <c r="C116" s="2" t="s">
        <v>239</v>
      </c>
      <c r="D116" s="2" t="s">
        <v>17</v>
      </c>
      <c r="E116" s="2" t="s">
        <v>13</v>
      </c>
      <c r="F116" s="2" t="s">
        <v>54</v>
      </c>
      <c r="G116" s="4">
        <v>101.99</v>
      </c>
      <c r="H116" s="2">
        <v>3</v>
      </c>
      <c r="I116" s="4">
        <v>7.84</v>
      </c>
      <c r="J116" s="5">
        <v>0.2</v>
      </c>
    </row>
    <row r="117" spans="1:10" x14ac:dyDescent="0.25">
      <c r="A117" s="2" t="s">
        <v>240</v>
      </c>
      <c r="B117" s="3">
        <v>45055</v>
      </c>
      <c r="C117" s="2" t="s">
        <v>11</v>
      </c>
      <c r="D117" s="2" t="s">
        <v>12</v>
      </c>
      <c r="E117" s="2" t="s">
        <v>23</v>
      </c>
      <c r="F117" s="2" t="s">
        <v>59</v>
      </c>
      <c r="G117" s="4">
        <v>211.45</v>
      </c>
      <c r="H117" s="2">
        <v>1</v>
      </c>
      <c r="I117" s="4">
        <v>73.98</v>
      </c>
      <c r="J117" s="5">
        <v>0</v>
      </c>
    </row>
    <row r="118" spans="1:10" x14ac:dyDescent="0.25">
      <c r="A118" s="2" t="s">
        <v>241</v>
      </c>
      <c r="B118" s="3">
        <v>45056</v>
      </c>
      <c r="C118" s="2" t="s">
        <v>242</v>
      </c>
      <c r="D118" s="2" t="s">
        <v>38</v>
      </c>
      <c r="E118" s="2" t="s">
        <v>13</v>
      </c>
      <c r="F118" s="2" t="s">
        <v>14</v>
      </c>
      <c r="G118" s="4">
        <v>217.9</v>
      </c>
      <c r="H118" s="2">
        <v>11</v>
      </c>
      <c r="I118" s="4">
        <v>36.44</v>
      </c>
      <c r="J118" s="5">
        <v>0.3</v>
      </c>
    </row>
    <row r="119" spans="1:10" x14ac:dyDescent="0.25">
      <c r="A119" s="2" t="s">
        <v>243</v>
      </c>
      <c r="B119" s="3">
        <v>45057</v>
      </c>
      <c r="C119" s="2" t="s">
        <v>244</v>
      </c>
      <c r="D119" s="2" t="s">
        <v>38</v>
      </c>
      <c r="E119" s="2" t="s">
        <v>23</v>
      </c>
      <c r="F119" s="2" t="s">
        <v>24</v>
      </c>
      <c r="G119" s="4">
        <v>482.8</v>
      </c>
      <c r="H119" s="2">
        <v>4</v>
      </c>
      <c r="I119" s="4">
        <v>-5.92</v>
      </c>
      <c r="J119" s="5">
        <v>0.15</v>
      </c>
    </row>
    <row r="120" spans="1:10" x14ac:dyDescent="0.25">
      <c r="A120" s="2" t="s">
        <v>245</v>
      </c>
      <c r="B120" s="3">
        <v>45058</v>
      </c>
      <c r="C120" s="2" t="s">
        <v>246</v>
      </c>
      <c r="D120" s="2" t="s">
        <v>38</v>
      </c>
      <c r="E120" s="2" t="s">
        <v>13</v>
      </c>
      <c r="F120" s="2" t="s">
        <v>20</v>
      </c>
      <c r="G120" s="4">
        <v>13.37</v>
      </c>
      <c r="H120" s="2">
        <v>2</v>
      </c>
      <c r="I120" s="4">
        <v>2.95</v>
      </c>
      <c r="J120" s="5">
        <v>0.2</v>
      </c>
    </row>
    <row r="121" spans="1:10" x14ac:dyDescent="0.25">
      <c r="A121" s="2" t="s">
        <v>247</v>
      </c>
      <c r="B121" s="3">
        <v>45059</v>
      </c>
      <c r="C121" s="2" t="s">
        <v>248</v>
      </c>
      <c r="D121" s="2" t="s">
        <v>42</v>
      </c>
      <c r="E121" s="2" t="s">
        <v>23</v>
      </c>
      <c r="F121" s="2" t="s">
        <v>35</v>
      </c>
      <c r="G121" s="4">
        <v>1064.07</v>
      </c>
      <c r="H121" s="2">
        <v>6</v>
      </c>
      <c r="I121" s="4">
        <v>130.83000000000001</v>
      </c>
      <c r="J121" s="5">
        <v>0.05</v>
      </c>
    </row>
    <row r="122" spans="1:10" x14ac:dyDescent="0.25">
      <c r="A122" s="2" t="s">
        <v>249</v>
      </c>
      <c r="B122" s="3">
        <v>45059</v>
      </c>
      <c r="C122" s="2" t="s">
        <v>250</v>
      </c>
      <c r="D122" s="2" t="s">
        <v>42</v>
      </c>
      <c r="E122" s="2" t="s">
        <v>13</v>
      </c>
      <c r="F122" s="2" t="s">
        <v>80</v>
      </c>
      <c r="G122" s="4">
        <v>14.51</v>
      </c>
      <c r="H122" s="2">
        <v>2</v>
      </c>
      <c r="I122" s="4">
        <v>1.64</v>
      </c>
      <c r="J122" s="5">
        <v>0.3</v>
      </c>
    </row>
    <row r="123" spans="1:10" x14ac:dyDescent="0.25">
      <c r="A123" s="2" t="s">
        <v>251</v>
      </c>
      <c r="B123" s="3">
        <v>45060</v>
      </c>
      <c r="C123" s="2" t="s">
        <v>102</v>
      </c>
      <c r="D123" s="2" t="s">
        <v>17</v>
      </c>
      <c r="E123" s="2" t="s">
        <v>27</v>
      </c>
      <c r="F123" s="2" t="s">
        <v>43</v>
      </c>
      <c r="G123" s="4">
        <v>207.49</v>
      </c>
      <c r="H123" s="2">
        <v>2</v>
      </c>
      <c r="I123" s="4">
        <v>44.43</v>
      </c>
      <c r="J123" s="5">
        <v>0</v>
      </c>
    </row>
    <row r="124" spans="1:10" x14ac:dyDescent="0.25">
      <c r="A124" s="2" t="s">
        <v>252</v>
      </c>
      <c r="B124" s="3">
        <v>45061</v>
      </c>
      <c r="C124" s="2" t="s">
        <v>65</v>
      </c>
      <c r="D124" s="2" t="s">
        <v>17</v>
      </c>
      <c r="E124" s="2" t="s">
        <v>27</v>
      </c>
      <c r="F124" s="2" t="s">
        <v>106</v>
      </c>
      <c r="G124" s="4">
        <v>2135.42</v>
      </c>
      <c r="H124" s="2">
        <v>6</v>
      </c>
      <c r="I124" s="4">
        <v>603.66</v>
      </c>
      <c r="J124" s="5">
        <v>0</v>
      </c>
    </row>
    <row r="125" spans="1:10" x14ac:dyDescent="0.25">
      <c r="A125" s="2" t="s">
        <v>253</v>
      </c>
      <c r="B125" s="3">
        <v>45061</v>
      </c>
      <c r="C125" s="2" t="s">
        <v>124</v>
      </c>
      <c r="D125" s="2" t="s">
        <v>17</v>
      </c>
      <c r="E125" s="2" t="s">
        <v>13</v>
      </c>
      <c r="F125" s="2" t="s">
        <v>54</v>
      </c>
      <c r="G125" s="4">
        <v>98.99</v>
      </c>
      <c r="H125" s="2">
        <v>4</v>
      </c>
      <c r="I125" s="4">
        <v>7.49</v>
      </c>
      <c r="J125" s="5">
        <v>0</v>
      </c>
    </row>
    <row r="126" spans="1:10" x14ac:dyDescent="0.25">
      <c r="A126" s="2" t="s">
        <v>254</v>
      </c>
      <c r="B126" s="3">
        <v>45062</v>
      </c>
      <c r="C126" s="2" t="s">
        <v>255</v>
      </c>
      <c r="D126" s="2" t="s">
        <v>17</v>
      </c>
      <c r="E126" s="2" t="s">
        <v>27</v>
      </c>
      <c r="F126" s="2" t="s">
        <v>114</v>
      </c>
      <c r="G126" s="4">
        <v>120.56</v>
      </c>
      <c r="H126" s="2">
        <v>1</v>
      </c>
      <c r="I126" s="4">
        <v>23.25</v>
      </c>
      <c r="J126" s="5">
        <v>0</v>
      </c>
    </row>
    <row r="127" spans="1:10" x14ac:dyDescent="0.25">
      <c r="A127" s="2" t="s">
        <v>256</v>
      </c>
      <c r="B127" s="3">
        <v>45062</v>
      </c>
      <c r="C127" s="2" t="s">
        <v>257</v>
      </c>
      <c r="D127" s="2" t="s">
        <v>12</v>
      </c>
      <c r="E127" s="2" t="s">
        <v>13</v>
      </c>
      <c r="F127" s="2" t="s">
        <v>20</v>
      </c>
      <c r="G127" s="4">
        <v>105.46</v>
      </c>
      <c r="H127" s="2">
        <v>2</v>
      </c>
      <c r="I127" s="4">
        <v>7.62</v>
      </c>
      <c r="J127" s="5">
        <v>0</v>
      </c>
    </row>
    <row r="128" spans="1:10" x14ac:dyDescent="0.25">
      <c r="A128" s="2" t="s">
        <v>258</v>
      </c>
      <c r="B128" s="3">
        <v>45063</v>
      </c>
      <c r="C128" s="2" t="s">
        <v>259</v>
      </c>
      <c r="D128" s="2" t="s">
        <v>12</v>
      </c>
      <c r="E128" s="2" t="s">
        <v>27</v>
      </c>
      <c r="F128" s="2" t="s">
        <v>66</v>
      </c>
      <c r="G128" s="4">
        <v>1059.74</v>
      </c>
      <c r="H128" s="2">
        <v>6</v>
      </c>
      <c r="I128" s="4">
        <v>177.86</v>
      </c>
      <c r="J128" s="5">
        <v>0.15</v>
      </c>
    </row>
    <row r="129" spans="1:10" x14ac:dyDescent="0.25">
      <c r="A129" s="2" t="s">
        <v>260</v>
      </c>
      <c r="B129" s="3">
        <v>45065</v>
      </c>
      <c r="C129" s="2" t="s">
        <v>261</v>
      </c>
      <c r="D129" s="2" t="s">
        <v>17</v>
      </c>
      <c r="E129" s="2" t="s">
        <v>23</v>
      </c>
      <c r="F129" s="2" t="s">
        <v>24</v>
      </c>
      <c r="G129" s="4">
        <v>301.29000000000002</v>
      </c>
      <c r="H129" s="2">
        <v>5</v>
      </c>
      <c r="I129" s="4">
        <v>82.21</v>
      </c>
      <c r="J129" s="5">
        <v>0</v>
      </c>
    </row>
    <row r="130" spans="1:10" x14ac:dyDescent="0.25">
      <c r="A130" s="2" t="s">
        <v>262</v>
      </c>
      <c r="B130" s="3">
        <v>45065</v>
      </c>
      <c r="C130" s="2" t="s">
        <v>263</v>
      </c>
      <c r="D130" s="2" t="s">
        <v>17</v>
      </c>
      <c r="E130" s="2" t="s">
        <v>27</v>
      </c>
      <c r="F130" s="2" t="s">
        <v>43</v>
      </c>
      <c r="G130" s="4">
        <v>244.8</v>
      </c>
      <c r="H130" s="2">
        <v>2</v>
      </c>
      <c r="I130" s="4">
        <v>-9.5500000000000007</v>
      </c>
      <c r="J130" s="5">
        <v>0.2</v>
      </c>
    </row>
    <row r="131" spans="1:10" x14ac:dyDescent="0.25">
      <c r="A131" s="2" t="s">
        <v>264</v>
      </c>
      <c r="B131" s="3">
        <v>45066</v>
      </c>
      <c r="C131" s="2" t="s">
        <v>265</v>
      </c>
      <c r="D131" s="2" t="s">
        <v>42</v>
      </c>
      <c r="E131" s="2" t="s">
        <v>13</v>
      </c>
      <c r="F131" s="2" t="s">
        <v>54</v>
      </c>
      <c r="G131" s="4">
        <v>269.38</v>
      </c>
      <c r="H131" s="2">
        <v>9</v>
      </c>
      <c r="I131" s="4">
        <v>53.56</v>
      </c>
      <c r="J131" s="5">
        <v>0</v>
      </c>
    </row>
    <row r="132" spans="1:10" x14ac:dyDescent="0.25">
      <c r="A132" s="2" t="s">
        <v>266</v>
      </c>
      <c r="B132" s="3">
        <v>45066</v>
      </c>
      <c r="C132" s="2" t="s">
        <v>267</v>
      </c>
      <c r="D132" s="2" t="s">
        <v>38</v>
      </c>
      <c r="E132" s="2" t="s">
        <v>23</v>
      </c>
      <c r="F132" s="2" t="s">
        <v>24</v>
      </c>
      <c r="G132" s="4">
        <v>1205.3</v>
      </c>
      <c r="H132" s="2">
        <v>7</v>
      </c>
      <c r="I132" s="4">
        <v>177.49</v>
      </c>
      <c r="J132" s="5">
        <v>0.2</v>
      </c>
    </row>
    <row r="133" spans="1:10" x14ac:dyDescent="0.25">
      <c r="A133" s="2" t="s">
        <v>268</v>
      </c>
      <c r="B133" s="3">
        <v>45066</v>
      </c>
      <c r="C133" s="2" t="s">
        <v>269</v>
      </c>
      <c r="D133" s="2" t="s">
        <v>17</v>
      </c>
      <c r="E133" s="2" t="s">
        <v>27</v>
      </c>
      <c r="F133" s="2" t="s">
        <v>114</v>
      </c>
      <c r="G133" s="4">
        <v>486.69</v>
      </c>
      <c r="H133" s="2">
        <v>3</v>
      </c>
      <c r="I133" s="4">
        <v>104.14</v>
      </c>
      <c r="J133" s="5">
        <v>0.1</v>
      </c>
    </row>
    <row r="134" spans="1:10" x14ac:dyDescent="0.25">
      <c r="A134" s="2" t="s">
        <v>270</v>
      </c>
      <c r="B134" s="3">
        <v>45067</v>
      </c>
      <c r="C134" s="2" t="s">
        <v>271</v>
      </c>
      <c r="D134" s="2" t="s">
        <v>38</v>
      </c>
      <c r="E134" s="2" t="s">
        <v>27</v>
      </c>
      <c r="F134" s="2" t="s">
        <v>114</v>
      </c>
      <c r="G134" s="4">
        <v>258.14999999999998</v>
      </c>
      <c r="H134" s="2">
        <v>1</v>
      </c>
      <c r="I134" s="4">
        <v>61.39</v>
      </c>
      <c r="J134" s="5">
        <v>0</v>
      </c>
    </row>
    <row r="135" spans="1:10" x14ac:dyDescent="0.25">
      <c r="A135" s="2" t="s">
        <v>272</v>
      </c>
      <c r="B135" s="3">
        <v>45067</v>
      </c>
      <c r="C135" s="2" t="s">
        <v>273</v>
      </c>
      <c r="D135" s="2" t="s">
        <v>38</v>
      </c>
      <c r="E135" s="2" t="s">
        <v>13</v>
      </c>
      <c r="F135" s="2" t="s">
        <v>20</v>
      </c>
      <c r="G135" s="4">
        <v>27.53</v>
      </c>
      <c r="H135" s="2">
        <v>6</v>
      </c>
      <c r="I135" s="4">
        <v>1.8</v>
      </c>
      <c r="J135" s="5">
        <v>0</v>
      </c>
    </row>
    <row r="136" spans="1:10" x14ac:dyDescent="0.25">
      <c r="A136" s="2" t="s">
        <v>274</v>
      </c>
      <c r="B136" s="3">
        <v>45068</v>
      </c>
      <c r="C136" s="2" t="s">
        <v>275</v>
      </c>
      <c r="D136" s="2" t="s">
        <v>38</v>
      </c>
      <c r="E136" s="2" t="s">
        <v>23</v>
      </c>
      <c r="F136" s="2" t="s">
        <v>35</v>
      </c>
      <c r="G136" s="4">
        <v>1862.95</v>
      </c>
      <c r="H136" s="2">
        <v>12</v>
      </c>
      <c r="I136" s="4">
        <v>558.49</v>
      </c>
      <c r="J136" s="5">
        <v>0</v>
      </c>
    </row>
    <row r="137" spans="1:10" x14ac:dyDescent="0.25">
      <c r="A137" s="2" t="s">
        <v>276</v>
      </c>
      <c r="B137" s="3">
        <v>45069</v>
      </c>
      <c r="C137" s="2" t="s">
        <v>120</v>
      </c>
      <c r="D137" s="2" t="s">
        <v>42</v>
      </c>
      <c r="E137" s="2" t="s">
        <v>13</v>
      </c>
      <c r="F137" s="2" t="s">
        <v>14</v>
      </c>
      <c r="G137" s="4">
        <v>86.28</v>
      </c>
      <c r="H137" s="2">
        <v>12</v>
      </c>
      <c r="I137" s="4">
        <v>13.78</v>
      </c>
      <c r="J137" s="5">
        <v>0</v>
      </c>
    </row>
    <row r="138" spans="1:10" x14ac:dyDescent="0.25">
      <c r="A138" s="2" t="s">
        <v>277</v>
      </c>
      <c r="B138" s="3">
        <v>45070</v>
      </c>
      <c r="C138" s="2" t="s">
        <v>278</v>
      </c>
      <c r="D138" s="2" t="s">
        <v>12</v>
      </c>
      <c r="E138" s="2" t="s">
        <v>13</v>
      </c>
      <c r="F138" s="2" t="s">
        <v>14</v>
      </c>
      <c r="G138" s="4">
        <v>83.87</v>
      </c>
      <c r="H138" s="2">
        <v>7</v>
      </c>
      <c r="I138" s="4">
        <v>17.55</v>
      </c>
      <c r="J138" s="5">
        <v>0.05</v>
      </c>
    </row>
    <row r="139" spans="1:10" x14ac:dyDescent="0.25">
      <c r="A139" s="2" t="s">
        <v>279</v>
      </c>
      <c r="B139" s="3">
        <v>45071</v>
      </c>
      <c r="C139" s="2" t="s">
        <v>280</v>
      </c>
      <c r="D139" s="2" t="s">
        <v>17</v>
      </c>
      <c r="E139" s="2" t="s">
        <v>27</v>
      </c>
      <c r="F139" s="2" t="s">
        <v>106</v>
      </c>
      <c r="G139" s="4">
        <v>2169.65</v>
      </c>
      <c r="H139" s="2">
        <v>8</v>
      </c>
      <c r="I139" s="4">
        <v>327.63</v>
      </c>
      <c r="J139" s="5">
        <v>0.1</v>
      </c>
    </row>
    <row r="140" spans="1:10" x14ac:dyDescent="0.25">
      <c r="A140" s="2" t="s">
        <v>281</v>
      </c>
      <c r="B140" s="3">
        <v>45072</v>
      </c>
      <c r="C140" s="2" t="s">
        <v>282</v>
      </c>
      <c r="D140" s="2" t="s">
        <v>42</v>
      </c>
      <c r="E140" s="2" t="s">
        <v>27</v>
      </c>
      <c r="F140" s="2" t="s">
        <v>28</v>
      </c>
      <c r="G140" s="4">
        <v>1865.51</v>
      </c>
      <c r="H140" s="2">
        <v>8</v>
      </c>
      <c r="I140" s="4">
        <v>508.01</v>
      </c>
      <c r="J140" s="5">
        <v>0.1</v>
      </c>
    </row>
    <row r="141" spans="1:10" x14ac:dyDescent="0.25">
      <c r="A141" s="2" t="s">
        <v>283</v>
      </c>
      <c r="B141" s="3">
        <v>45074</v>
      </c>
      <c r="C141" s="2" t="s">
        <v>87</v>
      </c>
      <c r="D141" s="2" t="s">
        <v>17</v>
      </c>
      <c r="E141" s="2" t="s">
        <v>27</v>
      </c>
      <c r="F141" s="2" t="s">
        <v>66</v>
      </c>
      <c r="G141" s="4">
        <v>1755.95</v>
      </c>
      <c r="H141" s="2">
        <v>12</v>
      </c>
      <c r="I141" s="4">
        <v>225.02</v>
      </c>
      <c r="J141" s="5">
        <v>0.15</v>
      </c>
    </row>
    <row r="142" spans="1:10" x14ac:dyDescent="0.25">
      <c r="A142" s="2" t="s">
        <v>284</v>
      </c>
      <c r="B142" s="3">
        <v>45074</v>
      </c>
      <c r="C142" s="2" t="s">
        <v>285</v>
      </c>
      <c r="D142" s="2" t="s">
        <v>17</v>
      </c>
      <c r="E142" s="2" t="s">
        <v>13</v>
      </c>
      <c r="F142" s="2" t="s">
        <v>14</v>
      </c>
      <c r="G142" s="4">
        <v>83.44</v>
      </c>
      <c r="H142" s="2">
        <v>11</v>
      </c>
      <c r="I142" s="4">
        <v>15.16</v>
      </c>
      <c r="J142" s="5">
        <v>0.1</v>
      </c>
    </row>
    <row r="143" spans="1:10" x14ac:dyDescent="0.25">
      <c r="A143" s="2" t="s">
        <v>286</v>
      </c>
      <c r="B143" s="3">
        <v>45075</v>
      </c>
      <c r="C143" s="2" t="s">
        <v>287</v>
      </c>
      <c r="D143" s="2" t="s">
        <v>38</v>
      </c>
      <c r="E143" s="2" t="s">
        <v>23</v>
      </c>
      <c r="F143" s="2" t="s">
        <v>71</v>
      </c>
      <c r="G143" s="4">
        <v>2465.9</v>
      </c>
      <c r="H143" s="2">
        <v>10</v>
      </c>
      <c r="I143" s="4">
        <v>223.6</v>
      </c>
      <c r="J143" s="5">
        <v>0</v>
      </c>
    </row>
    <row r="144" spans="1:10" x14ac:dyDescent="0.25">
      <c r="A144" s="2" t="s">
        <v>288</v>
      </c>
      <c r="B144" s="3">
        <v>45076</v>
      </c>
      <c r="C144" s="2" t="s">
        <v>289</v>
      </c>
      <c r="D144" s="2" t="s">
        <v>42</v>
      </c>
      <c r="E144" s="2" t="s">
        <v>23</v>
      </c>
      <c r="F144" s="2" t="s">
        <v>39</v>
      </c>
      <c r="G144" s="4">
        <v>720.07</v>
      </c>
      <c r="H144" s="2">
        <v>10</v>
      </c>
      <c r="I144" s="4">
        <v>99.01</v>
      </c>
      <c r="J144" s="5">
        <v>0.15</v>
      </c>
    </row>
    <row r="145" spans="1:10" x14ac:dyDescent="0.25">
      <c r="A145" s="2" t="s">
        <v>290</v>
      </c>
      <c r="B145" s="3">
        <v>45077</v>
      </c>
      <c r="C145" s="2" t="s">
        <v>217</v>
      </c>
      <c r="D145" s="2" t="s">
        <v>17</v>
      </c>
      <c r="E145" s="2" t="s">
        <v>27</v>
      </c>
      <c r="F145" s="2" t="s">
        <v>114</v>
      </c>
      <c r="G145" s="4">
        <v>914.27</v>
      </c>
      <c r="H145" s="2">
        <v>7</v>
      </c>
      <c r="I145" s="4">
        <v>257.43</v>
      </c>
      <c r="J145" s="5">
        <v>0.1</v>
      </c>
    </row>
    <row r="146" spans="1:10" x14ac:dyDescent="0.25">
      <c r="A146" s="2" t="s">
        <v>291</v>
      </c>
      <c r="B146" s="3">
        <v>45080</v>
      </c>
      <c r="C146" s="2" t="s">
        <v>292</v>
      </c>
      <c r="D146" s="2" t="s">
        <v>12</v>
      </c>
      <c r="E146" s="2" t="s">
        <v>23</v>
      </c>
      <c r="F146" s="2" t="s">
        <v>35</v>
      </c>
      <c r="G146" s="4">
        <v>172.7</v>
      </c>
      <c r="H146" s="2">
        <v>3</v>
      </c>
      <c r="I146" s="4">
        <v>33.03</v>
      </c>
      <c r="J146" s="5">
        <v>0</v>
      </c>
    </row>
    <row r="147" spans="1:10" x14ac:dyDescent="0.25">
      <c r="A147" s="2" t="s">
        <v>293</v>
      </c>
      <c r="B147" s="3">
        <v>45080</v>
      </c>
      <c r="C147" s="2" t="s">
        <v>294</v>
      </c>
      <c r="D147" s="2" t="s">
        <v>12</v>
      </c>
      <c r="E147" s="2" t="s">
        <v>13</v>
      </c>
      <c r="F147" s="2" t="s">
        <v>20</v>
      </c>
      <c r="G147" s="4">
        <v>254.47</v>
      </c>
      <c r="H147" s="2">
        <v>12</v>
      </c>
      <c r="I147" s="4">
        <v>56.07</v>
      </c>
      <c r="J147" s="5">
        <v>0.2</v>
      </c>
    </row>
    <row r="148" spans="1:10" x14ac:dyDescent="0.25">
      <c r="A148" s="2" t="s">
        <v>295</v>
      </c>
      <c r="B148" s="3">
        <v>45081</v>
      </c>
      <c r="C148" s="2" t="s">
        <v>296</v>
      </c>
      <c r="D148" s="2" t="s">
        <v>38</v>
      </c>
      <c r="E148" s="2" t="s">
        <v>27</v>
      </c>
      <c r="F148" s="2" t="s">
        <v>28</v>
      </c>
      <c r="G148" s="4">
        <v>1189</v>
      </c>
      <c r="H148" s="2">
        <v>5</v>
      </c>
      <c r="I148" s="4">
        <v>23.69</v>
      </c>
      <c r="J148" s="5">
        <v>0.2</v>
      </c>
    </row>
    <row r="149" spans="1:10" x14ac:dyDescent="0.25">
      <c r="A149" s="2" t="s">
        <v>297</v>
      </c>
      <c r="B149" s="3">
        <v>45081</v>
      </c>
      <c r="C149" s="2" t="s">
        <v>298</v>
      </c>
      <c r="D149" s="2" t="s">
        <v>38</v>
      </c>
      <c r="E149" s="2" t="s">
        <v>23</v>
      </c>
      <c r="F149" s="2" t="s">
        <v>39</v>
      </c>
      <c r="G149" s="4">
        <v>576.97</v>
      </c>
      <c r="H149" s="2">
        <v>7</v>
      </c>
      <c r="I149" s="4">
        <v>95.62</v>
      </c>
      <c r="J149" s="5">
        <v>0.2</v>
      </c>
    </row>
    <row r="150" spans="1:10" x14ac:dyDescent="0.25">
      <c r="A150" s="2" t="s">
        <v>299</v>
      </c>
      <c r="B150" s="3">
        <v>45086</v>
      </c>
      <c r="C150" s="2" t="s">
        <v>300</v>
      </c>
      <c r="D150" s="2" t="s">
        <v>42</v>
      </c>
      <c r="E150" s="2" t="s">
        <v>23</v>
      </c>
      <c r="F150" s="2" t="s">
        <v>39</v>
      </c>
      <c r="G150" s="4">
        <v>308.17</v>
      </c>
      <c r="H150" s="2">
        <v>6</v>
      </c>
      <c r="I150" s="4">
        <v>-19.329999999999998</v>
      </c>
      <c r="J150" s="5">
        <v>0.3</v>
      </c>
    </row>
    <row r="151" spans="1:10" x14ac:dyDescent="0.25">
      <c r="A151" s="2" t="s">
        <v>301</v>
      </c>
      <c r="B151" s="3">
        <v>45087</v>
      </c>
      <c r="C151" s="2" t="s">
        <v>302</v>
      </c>
      <c r="D151" s="2" t="s">
        <v>17</v>
      </c>
      <c r="E151" s="2" t="s">
        <v>23</v>
      </c>
      <c r="F151" s="2" t="s">
        <v>39</v>
      </c>
      <c r="G151" s="4">
        <v>1324.36</v>
      </c>
      <c r="H151" s="2">
        <v>7</v>
      </c>
      <c r="I151" s="4">
        <v>169.83</v>
      </c>
      <c r="J151" s="5">
        <v>0</v>
      </c>
    </row>
    <row r="152" spans="1:10" x14ac:dyDescent="0.25">
      <c r="A152" s="2" t="s">
        <v>303</v>
      </c>
      <c r="B152" s="3">
        <v>45088</v>
      </c>
      <c r="C152" s="2" t="s">
        <v>304</v>
      </c>
      <c r="D152" s="2" t="s">
        <v>42</v>
      </c>
      <c r="E152" s="2" t="s">
        <v>13</v>
      </c>
      <c r="F152" s="2" t="s">
        <v>51</v>
      </c>
      <c r="G152" s="4">
        <v>194.78</v>
      </c>
      <c r="H152" s="2">
        <v>5</v>
      </c>
      <c r="I152" s="4">
        <v>48.17</v>
      </c>
      <c r="J152" s="5">
        <v>0</v>
      </c>
    </row>
    <row r="153" spans="1:10" x14ac:dyDescent="0.25">
      <c r="A153" s="2" t="s">
        <v>305</v>
      </c>
      <c r="B153" s="3">
        <v>45090</v>
      </c>
      <c r="C153" s="2" t="s">
        <v>306</v>
      </c>
      <c r="D153" s="2" t="s">
        <v>42</v>
      </c>
      <c r="E153" s="2" t="s">
        <v>27</v>
      </c>
      <c r="F153" s="2" t="s">
        <v>66</v>
      </c>
      <c r="G153" s="4">
        <v>850.74</v>
      </c>
      <c r="H153" s="2">
        <v>3</v>
      </c>
      <c r="I153" s="4">
        <v>79.959999999999994</v>
      </c>
      <c r="J153" s="5">
        <v>0.15</v>
      </c>
    </row>
    <row r="154" spans="1:10" x14ac:dyDescent="0.25">
      <c r="A154" s="2" t="s">
        <v>307</v>
      </c>
      <c r="B154" s="3">
        <v>45091</v>
      </c>
      <c r="C154" s="2" t="s">
        <v>308</v>
      </c>
      <c r="D154" s="2" t="s">
        <v>38</v>
      </c>
      <c r="E154" s="2" t="s">
        <v>27</v>
      </c>
      <c r="F154" s="2" t="s">
        <v>114</v>
      </c>
      <c r="G154" s="4">
        <v>1268.8599999999999</v>
      </c>
      <c r="H154" s="2">
        <v>9</v>
      </c>
      <c r="I154" s="4">
        <v>111.51</v>
      </c>
      <c r="J154" s="5">
        <v>0.05</v>
      </c>
    </row>
    <row r="155" spans="1:10" x14ac:dyDescent="0.25">
      <c r="A155" s="2" t="s">
        <v>309</v>
      </c>
      <c r="B155" s="3">
        <v>45091</v>
      </c>
      <c r="C155" s="2" t="s">
        <v>310</v>
      </c>
      <c r="D155" s="2" t="s">
        <v>12</v>
      </c>
      <c r="E155" s="2" t="s">
        <v>23</v>
      </c>
      <c r="F155" s="2" t="s">
        <v>59</v>
      </c>
      <c r="G155" s="4">
        <v>295.39999999999998</v>
      </c>
      <c r="H155" s="2">
        <v>10</v>
      </c>
      <c r="I155" s="4">
        <v>86.64</v>
      </c>
      <c r="J155" s="5">
        <v>0</v>
      </c>
    </row>
    <row r="156" spans="1:10" x14ac:dyDescent="0.25">
      <c r="A156" s="2" t="s">
        <v>311</v>
      </c>
      <c r="B156" s="3">
        <v>45092</v>
      </c>
      <c r="C156" s="2" t="s">
        <v>312</v>
      </c>
      <c r="D156" s="2" t="s">
        <v>38</v>
      </c>
      <c r="E156" s="2" t="s">
        <v>23</v>
      </c>
      <c r="F156" s="2" t="s">
        <v>35</v>
      </c>
      <c r="G156" s="4">
        <v>230.55</v>
      </c>
      <c r="H156" s="2">
        <v>1</v>
      </c>
      <c r="I156" s="4">
        <v>70.069999999999993</v>
      </c>
      <c r="J156" s="5">
        <v>0</v>
      </c>
    </row>
    <row r="157" spans="1:10" x14ac:dyDescent="0.25">
      <c r="A157" s="2" t="s">
        <v>313</v>
      </c>
      <c r="B157" s="3">
        <v>45093</v>
      </c>
      <c r="C157" s="2" t="s">
        <v>314</v>
      </c>
      <c r="D157" s="2" t="s">
        <v>42</v>
      </c>
      <c r="E157" s="2" t="s">
        <v>27</v>
      </c>
      <c r="F157" s="2" t="s">
        <v>66</v>
      </c>
      <c r="G157" s="4">
        <v>587.64</v>
      </c>
      <c r="H157" s="2">
        <v>7</v>
      </c>
      <c r="I157" s="4">
        <v>112.58</v>
      </c>
      <c r="J157" s="5">
        <v>0.05</v>
      </c>
    </row>
    <row r="158" spans="1:10" x14ac:dyDescent="0.25">
      <c r="A158" s="2" t="s">
        <v>315</v>
      </c>
      <c r="B158" s="3">
        <v>45094</v>
      </c>
      <c r="C158" s="2" t="s">
        <v>26</v>
      </c>
      <c r="D158" s="2" t="s">
        <v>42</v>
      </c>
      <c r="E158" s="2" t="s">
        <v>27</v>
      </c>
      <c r="F158" s="2" t="s">
        <v>28</v>
      </c>
      <c r="G158" s="4">
        <v>1508.38</v>
      </c>
      <c r="H158" s="2">
        <v>10</v>
      </c>
      <c r="I158" s="4">
        <v>278.70999999999998</v>
      </c>
      <c r="J158" s="5">
        <v>0.1</v>
      </c>
    </row>
    <row r="159" spans="1:10" x14ac:dyDescent="0.25">
      <c r="A159" s="2" t="s">
        <v>316</v>
      </c>
      <c r="B159" s="3">
        <v>45094</v>
      </c>
      <c r="C159" s="2" t="s">
        <v>275</v>
      </c>
      <c r="D159" s="2" t="s">
        <v>17</v>
      </c>
      <c r="E159" s="2" t="s">
        <v>13</v>
      </c>
      <c r="F159" s="2" t="s">
        <v>14</v>
      </c>
      <c r="G159" s="4">
        <v>109.62</v>
      </c>
      <c r="H159" s="2">
        <v>6</v>
      </c>
      <c r="I159" s="4">
        <v>0.62</v>
      </c>
      <c r="J159" s="5">
        <v>0</v>
      </c>
    </row>
    <row r="160" spans="1:10" x14ac:dyDescent="0.25">
      <c r="A160" s="2" t="s">
        <v>317</v>
      </c>
      <c r="B160" s="3">
        <v>45095</v>
      </c>
      <c r="C160" s="2" t="s">
        <v>318</v>
      </c>
      <c r="D160" s="2" t="s">
        <v>42</v>
      </c>
      <c r="E160" s="2" t="s">
        <v>27</v>
      </c>
      <c r="F160" s="2" t="s">
        <v>106</v>
      </c>
      <c r="G160" s="4">
        <v>1782.96</v>
      </c>
      <c r="H160" s="2">
        <v>5</v>
      </c>
      <c r="I160" s="4">
        <v>238.66</v>
      </c>
      <c r="J160" s="5">
        <v>0.2</v>
      </c>
    </row>
    <row r="161" spans="1:10" x14ac:dyDescent="0.25">
      <c r="A161" s="2" t="s">
        <v>319</v>
      </c>
      <c r="B161" s="3">
        <v>45096</v>
      </c>
      <c r="C161" s="2" t="s">
        <v>320</v>
      </c>
      <c r="D161" s="2" t="s">
        <v>12</v>
      </c>
      <c r="E161" s="2" t="s">
        <v>13</v>
      </c>
      <c r="F161" s="2" t="s">
        <v>20</v>
      </c>
      <c r="G161" s="4">
        <v>373.21</v>
      </c>
      <c r="H161" s="2">
        <v>12</v>
      </c>
      <c r="I161" s="4">
        <v>-12.66</v>
      </c>
      <c r="J161" s="5">
        <v>0.15</v>
      </c>
    </row>
    <row r="162" spans="1:10" x14ac:dyDescent="0.25">
      <c r="A162" s="2" t="s">
        <v>321</v>
      </c>
      <c r="B162" s="3">
        <v>45097</v>
      </c>
      <c r="C162" s="2" t="s">
        <v>322</v>
      </c>
      <c r="D162" s="2" t="s">
        <v>12</v>
      </c>
      <c r="E162" s="2" t="s">
        <v>13</v>
      </c>
      <c r="F162" s="2" t="s">
        <v>54</v>
      </c>
      <c r="G162" s="4">
        <v>210.12</v>
      </c>
      <c r="H162" s="2">
        <v>6</v>
      </c>
      <c r="I162" s="4">
        <v>-9.15</v>
      </c>
      <c r="J162" s="5">
        <v>0.3</v>
      </c>
    </row>
    <row r="163" spans="1:10" x14ac:dyDescent="0.25">
      <c r="A163" s="2" t="s">
        <v>323</v>
      </c>
      <c r="B163" s="3">
        <v>45100</v>
      </c>
      <c r="C163" s="2" t="s">
        <v>324</v>
      </c>
      <c r="D163" s="2" t="s">
        <v>42</v>
      </c>
      <c r="E163" s="2" t="s">
        <v>23</v>
      </c>
      <c r="F163" s="2" t="s">
        <v>59</v>
      </c>
      <c r="G163" s="4">
        <v>240.85</v>
      </c>
      <c r="H163" s="2">
        <v>2</v>
      </c>
      <c r="I163" s="4">
        <v>-3.6</v>
      </c>
      <c r="J163" s="5">
        <v>0.2</v>
      </c>
    </row>
    <row r="164" spans="1:10" x14ac:dyDescent="0.25">
      <c r="A164" s="2" t="s">
        <v>325</v>
      </c>
      <c r="B164" s="3">
        <v>45100</v>
      </c>
      <c r="C164" s="2" t="s">
        <v>326</v>
      </c>
      <c r="D164" s="2" t="s">
        <v>12</v>
      </c>
      <c r="E164" s="2" t="s">
        <v>13</v>
      </c>
      <c r="F164" s="2" t="s">
        <v>14</v>
      </c>
      <c r="G164" s="4">
        <v>67.239999999999995</v>
      </c>
      <c r="H164" s="2">
        <v>3</v>
      </c>
      <c r="I164" s="4">
        <v>15.49</v>
      </c>
      <c r="J164" s="5">
        <v>0.1</v>
      </c>
    </row>
    <row r="165" spans="1:10" x14ac:dyDescent="0.25">
      <c r="A165" s="2" t="s">
        <v>327</v>
      </c>
      <c r="B165" s="3">
        <v>45101</v>
      </c>
      <c r="C165" s="2" t="s">
        <v>328</v>
      </c>
      <c r="D165" s="2" t="s">
        <v>42</v>
      </c>
      <c r="E165" s="2" t="s">
        <v>23</v>
      </c>
      <c r="F165" s="2" t="s">
        <v>71</v>
      </c>
      <c r="G165" s="4">
        <v>470.5</v>
      </c>
      <c r="H165" s="2">
        <v>5</v>
      </c>
      <c r="I165" s="4">
        <v>77.150000000000006</v>
      </c>
      <c r="J165" s="5">
        <v>0</v>
      </c>
    </row>
    <row r="166" spans="1:10" x14ac:dyDescent="0.25">
      <c r="A166" s="2" t="s">
        <v>329</v>
      </c>
      <c r="B166" s="3">
        <v>45105</v>
      </c>
      <c r="C166" s="2" t="s">
        <v>122</v>
      </c>
      <c r="D166" s="2" t="s">
        <v>38</v>
      </c>
      <c r="E166" s="2" t="s">
        <v>13</v>
      </c>
      <c r="F166" s="2" t="s">
        <v>14</v>
      </c>
      <c r="G166" s="4">
        <v>242.16</v>
      </c>
      <c r="H166" s="2">
        <v>8</v>
      </c>
      <c r="I166" s="4">
        <v>33.92</v>
      </c>
      <c r="J166" s="5">
        <v>0</v>
      </c>
    </row>
    <row r="167" spans="1:10" x14ac:dyDescent="0.25">
      <c r="A167" s="2" t="s">
        <v>330</v>
      </c>
      <c r="B167" s="3">
        <v>45105</v>
      </c>
      <c r="C167" s="2" t="s">
        <v>91</v>
      </c>
      <c r="D167" s="2" t="s">
        <v>17</v>
      </c>
      <c r="E167" s="2" t="s">
        <v>23</v>
      </c>
      <c r="F167" s="2" t="s">
        <v>71</v>
      </c>
      <c r="G167" s="4">
        <v>1393.13</v>
      </c>
      <c r="H167" s="2">
        <v>8</v>
      </c>
      <c r="I167" s="4">
        <v>146.76</v>
      </c>
      <c r="J167" s="5">
        <v>0.2</v>
      </c>
    </row>
    <row r="168" spans="1:10" x14ac:dyDescent="0.25">
      <c r="A168" s="2" t="s">
        <v>331</v>
      </c>
      <c r="B168" s="3">
        <v>45106</v>
      </c>
      <c r="C168" s="2" t="s">
        <v>215</v>
      </c>
      <c r="D168" s="2" t="s">
        <v>42</v>
      </c>
      <c r="E168" s="2" t="s">
        <v>27</v>
      </c>
      <c r="F168" s="2" t="s">
        <v>28</v>
      </c>
      <c r="G168" s="4">
        <v>1152.18</v>
      </c>
      <c r="H168" s="2">
        <v>4</v>
      </c>
      <c r="I168" s="4">
        <v>385.85</v>
      </c>
      <c r="J168" s="5">
        <v>0</v>
      </c>
    </row>
    <row r="169" spans="1:10" x14ac:dyDescent="0.25">
      <c r="A169" s="2" t="s">
        <v>332</v>
      </c>
      <c r="B169" s="3">
        <v>45107</v>
      </c>
      <c r="C169" s="2" t="s">
        <v>333</v>
      </c>
      <c r="D169" s="2" t="s">
        <v>12</v>
      </c>
      <c r="E169" s="2" t="s">
        <v>23</v>
      </c>
      <c r="F169" s="2" t="s">
        <v>59</v>
      </c>
      <c r="G169" s="4">
        <v>1195.28</v>
      </c>
      <c r="H169" s="2">
        <v>5</v>
      </c>
      <c r="I169" s="4">
        <v>109.33</v>
      </c>
      <c r="J169" s="5">
        <v>0.2</v>
      </c>
    </row>
    <row r="170" spans="1:10" x14ac:dyDescent="0.25">
      <c r="A170" s="2" t="s">
        <v>334</v>
      </c>
      <c r="B170" s="3">
        <v>45108</v>
      </c>
      <c r="C170" s="2" t="s">
        <v>267</v>
      </c>
      <c r="D170" s="2" t="s">
        <v>38</v>
      </c>
      <c r="E170" s="2" t="s">
        <v>13</v>
      </c>
      <c r="F170" s="2" t="s">
        <v>80</v>
      </c>
      <c r="G170" s="4">
        <v>179.06</v>
      </c>
      <c r="H170" s="2">
        <v>5</v>
      </c>
      <c r="I170" s="4">
        <v>28.07</v>
      </c>
      <c r="J170" s="5">
        <v>0.1</v>
      </c>
    </row>
    <row r="171" spans="1:10" x14ac:dyDescent="0.25">
      <c r="A171" s="2" t="s">
        <v>335</v>
      </c>
      <c r="B171" s="3">
        <v>45109</v>
      </c>
      <c r="C171" s="2" t="s">
        <v>336</v>
      </c>
      <c r="D171" s="2" t="s">
        <v>38</v>
      </c>
      <c r="E171" s="2" t="s">
        <v>13</v>
      </c>
      <c r="F171" s="2" t="s">
        <v>80</v>
      </c>
      <c r="G171" s="4">
        <v>134.02000000000001</v>
      </c>
      <c r="H171" s="2">
        <v>4</v>
      </c>
      <c r="I171" s="4">
        <v>3.78</v>
      </c>
      <c r="J171" s="5">
        <v>0</v>
      </c>
    </row>
    <row r="172" spans="1:10" x14ac:dyDescent="0.25">
      <c r="A172" s="2" t="s">
        <v>337</v>
      </c>
      <c r="B172" s="3">
        <v>45112</v>
      </c>
      <c r="C172" s="2" t="s">
        <v>338</v>
      </c>
      <c r="D172" s="2" t="s">
        <v>12</v>
      </c>
      <c r="E172" s="2" t="s">
        <v>13</v>
      </c>
      <c r="F172" s="2" t="s">
        <v>20</v>
      </c>
      <c r="G172" s="4">
        <v>35.71</v>
      </c>
      <c r="H172" s="2">
        <v>2</v>
      </c>
      <c r="I172" s="4">
        <v>-0.78</v>
      </c>
      <c r="J172" s="5">
        <v>0.15</v>
      </c>
    </row>
    <row r="173" spans="1:10" x14ac:dyDescent="0.25">
      <c r="A173" s="2" t="s">
        <v>339</v>
      </c>
      <c r="B173" s="3">
        <v>45114</v>
      </c>
      <c r="C173" s="2" t="s">
        <v>340</v>
      </c>
      <c r="D173" s="2" t="s">
        <v>42</v>
      </c>
      <c r="E173" s="2" t="s">
        <v>27</v>
      </c>
      <c r="F173" s="2" t="s">
        <v>114</v>
      </c>
      <c r="G173" s="4">
        <v>3089.12</v>
      </c>
      <c r="H173" s="2">
        <v>9</v>
      </c>
      <c r="I173" s="4">
        <v>979.04</v>
      </c>
      <c r="J173" s="5">
        <v>0.05</v>
      </c>
    </row>
    <row r="174" spans="1:10" x14ac:dyDescent="0.25">
      <c r="A174" s="2" t="s">
        <v>341</v>
      </c>
      <c r="B174" s="3">
        <v>45115</v>
      </c>
      <c r="C174" s="2" t="s">
        <v>342</v>
      </c>
      <c r="D174" s="2" t="s">
        <v>12</v>
      </c>
      <c r="E174" s="2" t="s">
        <v>13</v>
      </c>
      <c r="F174" s="2" t="s">
        <v>14</v>
      </c>
      <c r="G174" s="4">
        <v>176.24</v>
      </c>
      <c r="H174" s="2">
        <v>5</v>
      </c>
      <c r="I174" s="4">
        <v>12.13</v>
      </c>
      <c r="J174" s="5">
        <v>0.2</v>
      </c>
    </row>
    <row r="175" spans="1:10" x14ac:dyDescent="0.25">
      <c r="A175" s="2" t="s">
        <v>343</v>
      </c>
      <c r="B175" s="3">
        <v>45119</v>
      </c>
      <c r="C175" s="2" t="s">
        <v>292</v>
      </c>
      <c r="D175" s="2" t="s">
        <v>12</v>
      </c>
      <c r="E175" s="2" t="s">
        <v>13</v>
      </c>
      <c r="F175" s="2" t="s">
        <v>14</v>
      </c>
      <c r="G175" s="4">
        <v>65.209999999999994</v>
      </c>
      <c r="H175" s="2">
        <v>2</v>
      </c>
      <c r="I175" s="4">
        <v>4.49</v>
      </c>
      <c r="J175" s="5">
        <v>0.05</v>
      </c>
    </row>
    <row r="176" spans="1:10" x14ac:dyDescent="0.25">
      <c r="A176" s="2" t="s">
        <v>344</v>
      </c>
      <c r="B176" s="3">
        <v>45120</v>
      </c>
      <c r="C176" s="2" t="s">
        <v>345</v>
      </c>
      <c r="D176" s="2" t="s">
        <v>42</v>
      </c>
      <c r="E176" s="2" t="s">
        <v>23</v>
      </c>
      <c r="F176" s="2" t="s">
        <v>59</v>
      </c>
      <c r="G176" s="4">
        <v>1621.52</v>
      </c>
      <c r="H176" s="2">
        <v>9</v>
      </c>
      <c r="I176" s="4">
        <v>324.24</v>
      </c>
      <c r="J176" s="5">
        <v>0</v>
      </c>
    </row>
    <row r="177" spans="1:10" x14ac:dyDescent="0.25">
      <c r="A177" s="2" t="s">
        <v>346</v>
      </c>
      <c r="B177" s="3">
        <v>45122</v>
      </c>
      <c r="C177" s="2" t="s">
        <v>347</v>
      </c>
      <c r="D177" s="2" t="s">
        <v>38</v>
      </c>
      <c r="E177" s="2" t="s">
        <v>27</v>
      </c>
      <c r="F177" s="2" t="s">
        <v>106</v>
      </c>
      <c r="G177" s="4">
        <v>2986.03</v>
      </c>
      <c r="H177" s="2">
        <v>10</v>
      </c>
      <c r="I177" s="4">
        <v>472.82</v>
      </c>
      <c r="J177" s="5">
        <v>0.05</v>
      </c>
    </row>
    <row r="178" spans="1:10" x14ac:dyDescent="0.25">
      <c r="A178" s="2" t="s">
        <v>348</v>
      </c>
      <c r="B178" s="3">
        <v>45122</v>
      </c>
      <c r="C178" s="2" t="s">
        <v>189</v>
      </c>
      <c r="D178" s="2" t="s">
        <v>12</v>
      </c>
      <c r="E178" s="2" t="s">
        <v>27</v>
      </c>
      <c r="F178" s="2" t="s">
        <v>66</v>
      </c>
      <c r="G178" s="4">
        <v>2239.08</v>
      </c>
      <c r="H178" s="2">
        <v>9</v>
      </c>
      <c r="I178" s="4">
        <v>698.37</v>
      </c>
      <c r="J178" s="5">
        <v>0</v>
      </c>
    </row>
    <row r="179" spans="1:10" x14ac:dyDescent="0.25">
      <c r="A179" s="2" t="s">
        <v>349</v>
      </c>
      <c r="B179" s="3">
        <v>45122</v>
      </c>
      <c r="C179" s="2" t="s">
        <v>350</v>
      </c>
      <c r="D179" s="2" t="s">
        <v>17</v>
      </c>
      <c r="E179" s="2" t="s">
        <v>23</v>
      </c>
      <c r="F179" s="2" t="s">
        <v>35</v>
      </c>
      <c r="G179" s="4">
        <v>206.9</v>
      </c>
      <c r="H179" s="2">
        <v>1</v>
      </c>
      <c r="I179" s="4">
        <v>-5.19</v>
      </c>
      <c r="J179" s="5">
        <v>0.3</v>
      </c>
    </row>
    <row r="180" spans="1:10" x14ac:dyDescent="0.25">
      <c r="A180" s="2" t="s">
        <v>351</v>
      </c>
      <c r="B180" s="3">
        <v>45123</v>
      </c>
      <c r="C180" s="2" t="s">
        <v>242</v>
      </c>
      <c r="D180" s="2" t="s">
        <v>12</v>
      </c>
      <c r="E180" s="2" t="s">
        <v>13</v>
      </c>
      <c r="F180" s="2" t="s">
        <v>80</v>
      </c>
      <c r="G180" s="4">
        <v>146.78</v>
      </c>
      <c r="H180" s="2">
        <v>8</v>
      </c>
      <c r="I180" s="4">
        <v>42.24</v>
      </c>
      <c r="J180" s="5">
        <v>0.1</v>
      </c>
    </row>
    <row r="181" spans="1:10" x14ac:dyDescent="0.25">
      <c r="A181" s="2" t="s">
        <v>352</v>
      </c>
      <c r="B181" s="3">
        <v>45129</v>
      </c>
      <c r="C181" s="2" t="s">
        <v>306</v>
      </c>
      <c r="D181" s="2" t="s">
        <v>42</v>
      </c>
      <c r="E181" s="2" t="s">
        <v>13</v>
      </c>
      <c r="F181" s="2" t="s">
        <v>20</v>
      </c>
      <c r="G181" s="4">
        <v>139.13</v>
      </c>
      <c r="H181" s="2">
        <v>9</v>
      </c>
      <c r="I181" s="4">
        <v>8.25</v>
      </c>
      <c r="J181" s="5">
        <v>0</v>
      </c>
    </row>
    <row r="182" spans="1:10" x14ac:dyDescent="0.25">
      <c r="A182" s="2" t="s">
        <v>353</v>
      </c>
      <c r="B182" s="3">
        <v>45130</v>
      </c>
      <c r="C182" s="2" t="s">
        <v>354</v>
      </c>
      <c r="D182" s="2" t="s">
        <v>38</v>
      </c>
      <c r="E182" s="2" t="s">
        <v>27</v>
      </c>
      <c r="F182" s="2" t="s">
        <v>114</v>
      </c>
      <c r="G182" s="4">
        <v>1727.16</v>
      </c>
      <c r="H182" s="2">
        <v>6</v>
      </c>
      <c r="I182" s="4">
        <v>344.94</v>
      </c>
      <c r="J182" s="5">
        <v>0</v>
      </c>
    </row>
    <row r="183" spans="1:10" x14ac:dyDescent="0.25">
      <c r="A183" s="2" t="s">
        <v>355</v>
      </c>
      <c r="B183" s="3">
        <v>45132</v>
      </c>
      <c r="C183" s="2" t="s">
        <v>227</v>
      </c>
      <c r="D183" s="2" t="s">
        <v>38</v>
      </c>
      <c r="E183" s="2" t="s">
        <v>27</v>
      </c>
      <c r="F183" s="2" t="s">
        <v>106</v>
      </c>
      <c r="G183" s="4">
        <v>721.27</v>
      </c>
      <c r="H183" s="2">
        <v>2</v>
      </c>
      <c r="I183" s="4">
        <v>63.61</v>
      </c>
      <c r="J183" s="5">
        <v>0.1</v>
      </c>
    </row>
    <row r="184" spans="1:10" x14ac:dyDescent="0.25">
      <c r="A184" s="2" t="s">
        <v>356</v>
      </c>
      <c r="B184" s="3">
        <v>45133</v>
      </c>
      <c r="C184" s="2" t="s">
        <v>357</v>
      </c>
      <c r="D184" s="2" t="s">
        <v>38</v>
      </c>
      <c r="E184" s="2" t="s">
        <v>27</v>
      </c>
      <c r="F184" s="2" t="s">
        <v>28</v>
      </c>
      <c r="G184" s="4">
        <v>566.87</v>
      </c>
      <c r="H184" s="2">
        <v>6</v>
      </c>
      <c r="I184" s="4">
        <v>71.41</v>
      </c>
      <c r="J184" s="5">
        <v>0.15</v>
      </c>
    </row>
    <row r="185" spans="1:10" x14ac:dyDescent="0.25">
      <c r="A185" s="2" t="s">
        <v>358</v>
      </c>
      <c r="B185" s="3">
        <v>45134</v>
      </c>
      <c r="C185" s="2" t="s">
        <v>273</v>
      </c>
      <c r="D185" s="2" t="s">
        <v>12</v>
      </c>
      <c r="E185" s="2" t="s">
        <v>27</v>
      </c>
      <c r="F185" s="2" t="s">
        <v>43</v>
      </c>
      <c r="G185" s="4">
        <v>2648.87</v>
      </c>
      <c r="H185" s="2">
        <v>11</v>
      </c>
      <c r="I185" s="4">
        <v>522.05999999999995</v>
      </c>
      <c r="J185" s="5">
        <v>0.1</v>
      </c>
    </row>
    <row r="186" spans="1:10" x14ac:dyDescent="0.25">
      <c r="A186" s="2" t="s">
        <v>359</v>
      </c>
      <c r="B186" s="3">
        <v>45135</v>
      </c>
      <c r="C186" s="2" t="s">
        <v>360</v>
      </c>
      <c r="D186" s="2" t="s">
        <v>42</v>
      </c>
      <c r="E186" s="2" t="s">
        <v>27</v>
      </c>
      <c r="F186" s="2" t="s">
        <v>106</v>
      </c>
      <c r="G186" s="4">
        <v>4171.3100000000004</v>
      </c>
      <c r="H186" s="2">
        <v>11</v>
      </c>
      <c r="I186" s="4">
        <v>1029.3699999999999</v>
      </c>
      <c r="J186" s="5">
        <v>0.05</v>
      </c>
    </row>
    <row r="187" spans="1:10" x14ac:dyDescent="0.25">
      <c r="A187" s="2" t="s">
        <v>361</v>
      </c>
      <c r="B187" s="3">
        <v>45135</v>
      </c>
      <c r="C187" s="2" t="s">
        <v>259</v>
      </c>
      <c r="D187" s="2" t="s">
        <v>12</v>
      </c>
      <c r="E187" s="2" t="s">
        <v>23</v>
      </c>
      <c r="F187" s="2" t="s">
        <v>24</v>
      </c>
      <c r="G187" s="4">
        <v>393.04</v>
      </c>
      <c r="H187" s="2">
        <v>4</v>
      </c>
      <c r="I187" s="4">
        <v>27.56</v>
      </c>
      <c r="J187" s="5">
        <v>0.2</v>
      </c>
    </row>
    <row r="188" spans="1:10" x14ac:dyDescent="0.25">
      <c r="A188" s="2" t="s">
        <v>362</v>
      </c>
      <c r="B188" s="3">
        <v>45136</v>
      </c>
      <c r="C188" s="2" t="s">
        <v>363</v>
      </c>
      <c r="D188" s="2" t="s">
        <v>38</v>
      </c>
      <c r="E188" s="2" t="s">
        <v>13</v>
      </c>
      <c r="F188" s="2" t="s">
        <v>20</v>
      </c>
      <c r="G188" s="4">
        <v>17.12</v>
      </c>
      <c r="H188" s="2">
        <v>1</v>
      </c>
      <c r="I188" s="4">
        <v>5.74</v>
      </c>
      <c r="J188" s="5">
        <v>0</v>
      </c>
    </row>
    <row r="189" spans="1:10" x14ac:dyDescent="0.25">
      <c r="A189" s="2" t="s">
        <v>364</v>
      </c>
      <c r="B189" s="3">
        <v>45137</v>
      </c>
      <c r="C189" s="2" t="s">
        <v>365</v>
      </c>
      <c r="D189" s="2" t="s">
        <v>17</v>
      </c>
      <c r="E189" s="2" t="s">
        <v>23</v>
      </c>
      <c r="F189" s="2" t="s">
        <v>59</v>
      </c>
      <c r="G189" s="4">
        <v>790.53</v>
      </c>
      <c r="H189" s="2">
        <v>5</v>
      </c>
      <c r="I189" s="4">
        <v>80.37</v>
      </c>
      <c r="J189" s="5">
        <v>0</v>
      </c>
    </row>
    <row r="190" spans="1:10" x14ac:dyDescent="0.25">
      <c r="A190" s="2" t="s">
        <v>366</v>
      </c>
      <c r="B190" s="3">
        <v>45138</v>
      </c>
      <c r="C190" s="2" t="s">
        <v>367</v>
      </c>
      <c r="D190" s="2" t="s">
        <v>38</v>
      </c>
      <c r="E190" s="2" t="s">
        <v>23</v>
      </c>
      <c r="F190" s="2" t="s">
        <v>35</v>
      </c>
      <c r="G190" s="4">
        <v>198.86</v>
      </c>
      <c r="H190" s="2">
        <v>1</v>
      </c>
      <c r="I190" s="4">
        <v>33.94</v>
      </c>
      <c r="J190" s="5">
        <v>0.2</v>
      </c>
    </row>
    <row r="191" spans="1:10" x14ac:dyDescent="0.25">
      <c r="A191" s="2" t="s">
        <v>368</v>
      </c>
      <c r="B191" s="3">
        <v>45139</v>
      </c>
      <c r="C191" s="2" t="s">
        <v>369</v>
      </c>
      <c r="D191" s="2" t="s">
        <v>12</v>
      </c>
      <c r="E191" s="2" t="s">
        <v>13</v>
      </c>
      <c r="F191" s="2" t="s">
        <v>51</v>
      </c>
      <c r="G191" s="4">
        <v>265.25</v>
      </c>
      <c r="H191" s="2">
        <v>12</v>
      </c>
      <c r="I191" s="4">
        <v>76.59</v>
      </c>
      <c r="J191" s="5">
        <v>0</v>
      </c>
    </row>
    <row r="192" spans="1:10" x14ac:dyDescent="0.25">
      <c r="A192" s="2" t="s">
        <v>370</v>
      </c>
      <c r="B192" s="3">
        <v>45139</v>
      </c>
      <c r="C192" s="2" t="s">
        <v>371</v>
      </c>
      <c r="D192" s="2" t="s">
        <v>12</v>
      </c>
      <c r="E192" s="2" t="s">
        <v>23</v>
      </c>
      <c r="F192" s="2" t="s">
        <v>24</v>
      </c>
      <c r="G192" s="4">
        <v>1219.98</v>
      </c>
      <c r="H192" s="2">
        <v>11</v>
      </c>
      <c r="I192" s="4">
        <v>-0.23</v>
      </c>
      <c r="J192" s="5">
        <v>0.1</v>
      </c>
    </row>
    <row r="193" spans="1:10" x14ac:dyDescent="0.25">
      <c r="A193" s="2" t="s">
        <v>372</v>
      </c>
      <c r="B193" s="3">
        <v>45139</v>
      </c>
      <c r="C193" s="2" t="s">
        <v>373</v>
      </c>
      <c r="D193" s="2" t="s">
        <v>38</v>
      </c>
      <c r="E193" s="2" t="s">
        <v>27</v>
      </c>
      <c r="F193" s="2" t="s">
        <v>28</v>
      </c>
      <c r="G193" s="4">
        <v>1301.17</v>
      </c>
      <c r="H193" s="2">
        <v>7</v>
      </c>
      <c r="I193" s="4">
        <v>60.95</v>
      </c>
      <c r="J193" s="5">
        <v>0.2</v>
      </c>
    </row>
    <row r="194" spans="1:10" x14ac:dyDescent="0.25">
      <c r="A194" s="2" t="s">
        <v>374</v>
      </c>
      <c r="B194" s="3">
        <v>45140</v>
      </c>
      <c r="C194" s="2" t="s">
        <v>79</v>
      </c>
      <c r="D194" s="2" t="s">
        <v>17</v>
      </c>
      <c r="E194" s="2" t="s">
        <v>23</v>
      </c>
      <c r="F194" s="2" t="s">
        <v>24</v>
      </c>
      <c r="G194" s="4">
        <v>1623.84</v>
      </c>
      <c r="H194" s="2">
        <v>10</v>
      </c>
      <c r="I194" s="4">
        <v>296.47000000000003</v>
      </c>
      <c r="J194" s="5">
        <v>0.1</v>
      </c>
    </row>
    <row r="195" spans="1:10" x14ac:dyDescent="0.25">
      <c r="A195" s="2" t="s">
        <v>375</v>
      </c>
      <c r="B195" s="3">
        <v>45140</v>
      </c>
      <c r="C195" s="2" t="s">
        <v>94</v>
      </c>
      <c r="D195" s="2" t="s">
        <v>38</v>
      </c>
      <c r="E195" s="2" t="s">
        <v>23</v>
      </c>
      <c r="F195" s="2" t="s">
        <v>39</v>
      </c>
      <c r="G195" s="4">
        <v>1791.73</v>
      </c>
      <c r="H195" s="2">
        <v>12</v>
      </c>
      <c r="I195" s="4">
        <v>359.44</v>
      </c>
      <c r="J195" s="5">
        <v>0</v>
      </c>
    </row>
    <row r="196" spans="1:10" x14ac:dyDescent="0.25">
      <c r="A196" s="2" t="s">
        <v>376</v>
      </c>
      <c r="B196" s="3">
        <v>45140</v>
      </c>
      <c r="C196" s="2" t="s">
        <v>377</v>
      </c>
      <c r="D196" s="2" t="s">
        <v>42</v>
      </c>
      <c r="E196" s="2" t="s">
        <v>13</v>
      </c>
      <c r="F196" s="2" t="s">
        <v>54</v>
      </c>
      <c r="G196" s="4">
        <v>158.91</v>
      </c>
      <c r="H196" s="2">
        <v>6</v>
      </c>
      <c r="I196" s="4">
        <v>-4.9400000000000004</v>
      </c>
      <c r="J196" s="5">
        <v>0.15</v>
      </c>
    </row>
    <row r="197" spans="1:10" x14ac:dyDescent="0.25">
      <c r="A197" s="2" t="s">
        <v>378</v>
      </c>
      <c r="B197" s="3">
        <v>45143</v>
      </c>
      <c r="C197" s="2" t="s">
        <v>217</v>
      </c>
      <c r="D197" s="2" t="s">
        <v>42</v>
      </c>
      <c r="E197" s="2" t="s">
        <v>13</v>
      </c>
      <c r="F197" s="2" t="s">
        <v>54</v>
      </c>
      <c r="G197" s="4">
        <v>89.75</v>
      </c>
      <c r="H197" s="2">
        <v>12</v>
      </c>
      <c r="I197" s="4">
        <v>7.27</v>
      </c>
      <c r="J197" s="5">
        <v>0</v>
      </c>
    </row>
    <row r="198" spans="1:10" x14ac:dyDescent="0.25">
      <c r="A198" s="2" t="s">
        <v>379</v>
      </c>
      <c r="B198" s="3">
        <v>45144</v>
      </c>
      <c r="C198" s="2" t="s">
        <v>102</v>
      </c>
      <c r="D198" s="2" t="s">
        <v>17</v>
      </c>
      <c r="E198" s="2" t="s">
        <v>13</v>
      </c>
      <c r="F198" s="2" t="s">
        <v>51</v>
      </c>
      <c r="G198" s="4">
        <v>50.88</v>
      </c>
      <c r="H198" s="2">
        <v>3</v>
      </c>
      <c r="I198" s="4">
        <v>4.4800000000000004</v>
      </c>
      <c r="J198" s="5">
        <v>0.05</v>
      </c>
    </row>
    <row r="199" spans="1:10" x14ac:dyDescent="0.25">
      <c r="A199" s="2" t="s">
        <v>380</v>
      </c>
      <c r="B199" s="3">
        <v>45146</v>
      </c>
      <c r="C199" s="2" t="s">
        <v>147</v>
      </c>
      <c r="D199" s="2" t="s">
        <v>38</v>
      </c>
      <c r="E199" s="2" t="s">
        <v>27</v>
      </c>
      <c r="F199" s="2" t="s">
        <v>114</v>
      </c>
      <c r="G199" s="4">
        <v>276.74</v>
      </c>
      <c r="H199" s="2">
        <v>1</v>
      </c>
      <c r="I199" s="4">
        <v>57.3</v>
      </c>
      <c r="J199" s="5">
        <v>0</v>
      </c>
    </row>
    <row r="200" spans="1:10" x14ac:dyDescent="0.25">
      <c r="A200" s="2" t="s">
        <v>381</v>
      </c>
      <c r="B200" s="3">
        <v>45147</v>
      </c>
      <c r="C200" s="2" t="s">
        <v>382</v>
      </c>
      <c r="D200" s="2" t="s">
        <v>42</v>
      </c>
      <c r="E200" s="2" t="s">
        <v>23</v>
      </c>
      <c r="F200" s="2" t="s">
        <v>35</v>
      </c>
      <c r="G200" s="4">
        <v>1501.08</v>
      </c>
      <c r="H200" s="2">
        <v>9</v>
      </c>
      <c r="I200" s="4">
        <v>6.68</v>
      </c>
      <c r="J200" s="5">
        <v>0.3</v>
      </c>
    </row>
    <row r="201" spans="1:10" x14ac:dyDescent="0.25">
      <c r="A201" s="2" t="s">
        <v>383</v>
      </c>
      <c r="B201" s="3">
        <v>45149</v>
      </c>
      <c r="C201" s="2" t="s">
        <v>384</v>
      </c>
      <c r="D201" s="2" t="s">
        <v>17</v>
      </c>
      <c r="E201" s="2" t="s">
        <v>27</v>
      </c>
      <c r="F201" s="2" t="s">
        <v>28</v>
      </c>
      <c r="G201" s="4">
        <v>944.44</v>
      </c>
      <c r="H201" s="2">
        <v>3</v>
      </c>
      <c r="I201" s="4">
        <v>8.94</v>
      </c>
      <c r="J201" s="5">
        <v>0</v>
      </c>
    </row>
    <row r="202" spans="1:10" x14ac:dyDescent="0.25">
      <c r="A202" s="2" t="s">
        <v>385</v>
      </c>
      <c r="B202" s="3">
        <v>45152</v>
      </c>
      <c r="C202" s="2" t="s">
        <v>224</v>
      </c>
      <c r="D202" s="2" t="s">
        <v>12</v>
      </c>
      <c r="E202" s="2" t="s">
        <v>27</v>
      </c>
      <c r="F202" s="2" t="s">
        <v>66</v>
      </c>
      <c r="G202" s="4">
        <v>616.66999999999996</v>
      </c>
      <c r="H202" s="2">
        <v>2</v>
      </c>
      <c r="I202" s="4">
        <v>56.43</v>
      </c>
      <c r="J202" s="5">
        <v>0</v>
      </c>
    </row>
    <row r="203" spans="1:10" x14ac:dyDescent="0.25">
      <c r="A203" s="2" t="s">
        <v>386</v>
      </c>
      <c r="B203" s="3">
        <v>45155</v>
      </c>
      <c r="C203" s="2" t="s">
        <v>263</v>
      </c>
      <c r="D203" s="2" t="s">
        <v>38</v>
      </c>
      <c r="E203" s="2" t="s">
        <v>23</v>
      </c>
      <c r="F203" s="2" t="s">
        <v>39</v>
      </c>
      <c r="G203" s="4">
        <v>159.49</v>
      </c>
      <c r="H203" s="2">
        <v>1</v>
      </c>
      <c r="I203" s="4">
        <v>1.97</v>
      </c>
      <c r="J203" s="5">
        <v>0.2</v>
      </c>
    </row>
    <row r="204" spans="1:10" x14ac:dyDescent="0.25">
      <c r="A204" s="2" t="s">
        <v>387</v>
      </c>
      <c r="B204" s="3">
        <v>45156</v>
      </c>
      <c r="C204" s="2" t="s">
        <v>388</v>
      </c>
      <c r="D204" s="2" t="s">
        <v>12</v>
      </c>
      <c r="E204" s="2" t="s">
        <v>23</v>
      </c>
      <c r="F204" s="2" t="s">
        <v>39</v>
      </c>
      <c r="G204" s="4">
        <v>673.99</v>
      </c>
      <c r="H204" s="2">
        <v>11</v>
      </c>
      <c r="I204" s="4">
        <v>396.28</v>
      </c>
      <c r="J204" s="5">
        <v>0.15</v>
      </c>
    </row>
    <row r="205" spans="1:10" x14ac:dyDescent="0.25">
      <c r="A205" s="2" t="s">
        <v>389</v>
      </c>
      <c r="B205" s="3">
        <v>45156</v>
      </c>
      <c r="C205" s="2" t="s">
        <v>390</v>
      </c>
      <c r="D205" s="2" t="s">
        <v>12</v>
      </c>
      <c r="E205" s="2" t="s">
        <v>13</v>
      </c>
      <c r="F205" s="2" t="s">
        <v>20</v>
      </c>
      <c r="G205" s="4">
        <v>63.33</v>
      </c>
      <c r="H205" s="2">
        <v>4</v>
      </c>
      <c r="I205" s="4">
        <v>8.94</v>
      </c>
      <c r="J205" s="5">
        <v>0.3</v>
      </c>
    </row>
    <row r="206" spans="1:10" x14ac:dyDescent="0.25">
      <c r="A206" s="2" t="s">
        <v>391</v>
      </c>
      <c r="B206" s="3">
        <v>45157</v>
      </c>
      <c r="C206" s="2" t="s">
        <v>116</v>
      </c>
      <c r="D206" s="2" t="s">
        <v>12</v>
      </c>
      <c r="E206" s="2" t="s">
        <v>23</v>
      </c>
      <c r="F206" s="2" t="s">
        <v>35</v>
      </c>
      <c r="G206" s="4">
        <v>649</v>
      </c>
      <c r="H206" s="2">
        <v>6</v>
      </c>
      <c r="I206" s="4">
        <v>19.95</v>
      </c>
      <c r="J206" s="5">
        <v>0.15</v>
      </c>
    </row>
    <row r="207" spans="1:10" x14ac:dyDescent="0.25">
      <c r="A207" s="2" t="s">
        <v>392</v>
      </c>
      <c r="B207" s="3">
        <v>45157</v>
      </c>
      <c r="C207" s="2" t="s">
        <v>393</v>
      </c>
      <c r="D207" s="2" t="s">
        <v>38</v>
      </c>
      <c r="E207" s="2" t="s">
        <v>13</v>
      </c>
      <c r="F207" s="2" t="s">
        <v>80</v>
      </c>
      <c r="G207" s="4">
        <v>175.66</v>
      </c>
      <c r="H207" s="2">
        <v>6</v>
      </c>
      <c r="I207" s="4">
        <v>19.07</v>
      </c>
      <c r="J207" s="5">
        <v>0</v>
      </c>
    </row>
    <row r="208" spans="1:10" x14ac:dyDescent="0.25">
      <c r="A208" s="2" t="s">
        <v>394</v>
      </c>
      <c r="B208" s="3">
        <v>45159</v>
      </c>
      <c r="C208" s="2" t="s">
        <v>395</v>
      </c>
      <c r="D208" s="2" t="s">
        <v>38</v>
      </c>
      <c r="E208" s="2" t="s">
        <v>13</v>
      </c>
      <c r="F208" s="2" t="s">
        <v>14</v>
      </c>
      <c r="G208" s="4">
        <v>21.07</v>
      </c>
      <c r="H208" s="2">
        <v>2</v>
      </c>
      <c r="I208" s="4">
        <v>-1.45</v>
      </c>
      <c r="J208" s="5">
        <v>0.3</v>
      </c>
    </row>
    <row r="209" spans="1:10" x14ac:dyDescent="0.25">
      <c r="A209" s="2" t="s">
        <v>396</v>
      </c>
      <c r="B209" s="3">
        <v>45159</v>
      </c>
      <c r="C209" s="2" t="s">
        <v>397</v>
      </c>
      <c r="D209" s="2" t="s">
        <v>42</v>
      </c>
      <c r="E209" s="2" t="s">
        <v>23</v>
      </c>
      <c r="F209" s="2" t="s">
        <v>24</v>
      </c>
      <c r="G209" s="4">
        <v>2591.1799999999998</v>
      </c>
      <c r="H209" s="2">
        <v>11</v>
      </c>
      <c r="I209" s="4">
        <v>-124.76</v>
      </c>
      <c r="J209" s="5">
        <v>0.3</v>
      </c>
    </row>
    <row r="210" spans="1:10" x14ac:dyDescent="0.25">
      <c r="A210" s="2" t="s">
        <v>398</v>
      </c>
      <c r="B210" s="3">
        <v>45159</v>
      </c>
      <c r="C210" s="2" t="s">
        <v>399</v>
      </c>
      <c r="D210" s="2" t="s">
        <v>17</v>
      </c>
      <c r="E210" s="2" t="s">
        <v>13</v>
      </c>
      <c r="F210" s="2" t="s">
        <v>54</v>
      </c>
      <c r="G210" s="4">
        <v>171.19</v>
      </c>
      <c r="H210" s="2">
        <v>6</v>
      </c>
      <c r="I210" s="4">
        <v>-1.28</v>
      </c>
      <c r="J210" s="5">
        <v>0.15</v>
      </c>
    </row>
    <row r="211" spans="1:10" x14ac:dyDescent="0.25">
      <c r="A211" s="2" t="s">
        <v>400</v>
      </c>
      <c r="B211" s="3">
        <v>45160</v>
      </c>
      <c r="C211" s="2" t="s">
        <v>401</v>
      </c>
      <c r="D211" s="2" t="s">
        <v>12</v>
      </c>
      <c r="E211" s="2" t="s">
        <v>13</v>
      </c>
      <c r="F211" s="2" t="s">
        <v>14</v>
      </c>
      <c r="G211" s="4">
        <v>105.04</v>
      </c>
      <c r="H211" s="2">
        <v>9</v>
      </c>
      <c r="I211" s="4">
        <v>32.479999999999997</v>
      </c>
      <c r="J211" s="5">
        <v>0</v>
      </c>
    </row>
    <row r="212" spans="1:10" x14ac:dyDescent="0.25">
      <c r="A212" s="2" t="s">
        <v>402</v>
      </c>
      <c r="B212" s="3">
        <v>45162</v>
      </c>
      <c r="C212" s="2" t="s">
        <v>403</v>
      </c>
      <c r="D212" s="2" t="s">
        <v>17</v>
      </c>
      <c r="E212" s="2" t="s">
        <v>13</v>
      </c>
      <c r="F212" s="2" t="s">
        <v>54</v>
      </c>
      <c r="G212" s="4">
        <v>97.01</v>
      </c>
      <c r="H212" s="2">
        <v>12</v>
      </c>
      <c r="I212" s="4">
        <v>14.62</v>
      </c>
      <c r="J212" s="5">
        <v>0.05</v>
      </c>
    </row>
    <row r="213" spans="1:10" x14ac:dyDescent="0.25">
      <c r="A213" s="2" t="s">
        <v>404</v>
      </c>
      <c r="B213" s="3">
        <v>45163</v>
      </c>
      <c r="C213" s="2" t="s">
        <v>405</v>
      </c>
      <c r="D213" s="2" t="s">
        <v>38</v>
      </c>
      <c r="E213" s="2" t="s">
        <v>23</v>
      </c>
      <c r="F213" s="2" t="s">
        <v>35</v>
      </c>
      <c r="G213" s="4">
        <v>2524.21</v>
      </c>
      <c r="H213" s="2">
        <v>12</v>
      </c>
      <c r="I213" s="4">
        <v>746.38</v>
      </c>
      <c r="J213" s="5">
        <v>0</v>
      </c>
    </row>
    <row r="214" spans="1:10" x14ac:dyDescent="0.25">
      <c r="A214" s="2" t="s">
        <v>406</v>
      </c>
      <c r="B214" s="3">
        <v>45164</v>
      </c>
      <c r="C214" s="2" t="s">
        <v>407</v>
      </c>
      <c r="D214" s="2" t="s">
        <v>38</v>
      </c>
      <c r="E214" s="2" t="s">
        <v>27</v>
      </c>
      <c r="F214" s="2" t="s">
        <v>28</v>
      </c>
      <c r="G214" s="4">
        <v>258.37</v>
      </c>
      <c r="H214" s="2">
        <v>1</v>
      </c>
      <c r="I214" s="4">
        <v>75.040000000000006</v>
      </c>
      <c r="J214" s="5">
        <v>0</v>
      </c>
    </row>
    <row r="215" spans="1:10" x14ac:dyDescent="0.25">
      <c r="A215" s="2" t="s">
        <v>408</v>
      </c>
      <c r="B215" s="3">
        <v>45165</v>
      </c>
      <c r="C215" s="2" t="s">
        <v>177</v>
      </c>
      <c r="D215" s="2" t="s">
        <v>17</v>
      </c>
      <c r="E215" s="2" t="s">
        <v>27</v>
      </c>
      <c r="F215" s="2" t="s">
        <v>114</v>
      </c>
      <c r="G215" s="4">
        <v>2588.3200000000002</v>
      </c>
      <c r="H215" s="2">
        <v>9</v>
      </c>
      <c r="I215" s="4">
        <v>25.37</v>
      </c>
      <c r="J215" s="5">
        <v>0.3</v>
      </c>
    </row>
    <row r="216" spans="1:10" x14ac:dyDescent="0.25">
      <c r="A216" s="2" t="s">
        <v>409</v>
      </c>
      <c r="B216" s="3">
        <v>45166</v>
      </c>
      <c r="C216" s="2" t="s">
        <v>410</v>
      </c>
      <c r="D216" s="2" t="s">
        <v>17</v>
      </c>
      <c r="E216" s="2" t="s">
        <v>13</v>
      </c>
      <c r="F216" s="2" t="s">
        <v>51</v>
      </c>
      <c r="G216" s="4">
        <v>229.05</v>
      </c>
      <c r="H216" s="2">
        <v>12</v>
      </c>
      <c r="I216" s="4">
        <v>0.3</v>
      </c>
      <c r="J216" s="5">
        <v>0.3</v>
      </c>
    </row>
    <row r="217" spans="1:10" x14ac:dyDescent="0.25">
      <c r="A217" s="2" t="s">
        <v>411</v>
      </c>
      <c r="B217" s="3">
        <v>45167</v>
      </c>
      <c r="C217" s="2" t="s">
        <v>19</v>
      </c>
      <c r="D217" s="2" t="s">
        <v>12</v>
      </c>
      <c r="E217" s="2" t="s">
        <v>27</v>
      </c>
      <c r="F217" s="2" t="s">
        <v>43</v>
      </c>
      <c r="G217" s="4">
        <v>452.22</v>
      </c>
      <c r="H217" s="2">
        <v>5</v>
      </c>
      <c r="I217" s="4">
        <v>-49.13</v>
      </c>
      <c r="J217" s="5">
        <v>0.3</v>
      </c>
    </row>
    <row r="218" spans="1:10" x14ac:dyDescent="0.25">
      <c r="A218" s="2" t="s">
        <v>412</v>
      </c>
      <c r="B218" s="3">
        <v>45167</v>
      </c>
      <c r="C218" s="2" t="s">
        <v>410</v>
      </c>
      <c r="D218" s="2" t="s">
        <v>38</v>
      </c>
      <c r="E218" s="2" t="s">
        <v>23</v>
      </c>
      <c r="F218" s="2" t="s">
        <v>71</v>
      </c>
      <c r="G218" s="4">
        <v>1231.8699999999999</v>
      </c>
      <c r="H218" s="2">
        <v>8</v>
      </c>
      <c r="I218" s="4">
        <v>138.22</v>
      </c>
      <c r="J218" s="5">
        <v>0.15</v>
      </c>
    </row>
    <row r="219" spans="1:10" x14ac:dyDescent="0.25">
      <c r="A219" s="2" t="s">
        <v>413</v>
      </c>
      <c r="B219" s="3">
        <v>45169</v>
      </c>
      <c r="C219" s="2" t="s">
        <v>414</v>
      </c>
      <c r="D219" s="2" t="s">
        <v>38</v>
      </c>
      <c r="E219" s="2" t="s">
        <v>27</v>
      </c>
      <c r="F219" s="2" t="s">
        <v>43</v>
      </c>
      <c r="G219" s="4">
        <v>1282.6500000000001</v>
      </c>
      <c r="H219" s="2">
        <v>11</v>
      </c>
      <c r="I219" s="4">
        <v>282.27</v>
      </c>
      <c r="J219" s="5">
        <v>0.1</v>
      </c>
    </row>
    <row r="220" spans="1:10" x14ac:dyDescent="0.25">
      <c r="A220" s="2" t="s">
        <v>415</v>
      </c>
      <c r="B220" s="3">
        <v>45170</v>
      </c>
      <c r="C220" s="2" t="s">
        <v>393</v>
      </c>
      <c r="D220" s="2" t="s">
        <v>42</v>
      </c>
      <c r="E220" s="2" t="s">
        <v>27</v>
      </c>
      <c r="F220" s="2" t="s">
        <v>66</v>
      </c>
      <c r="G220" s="4">
        <v>1071.4100000000001</v>
      </c>
      <c r="H220" s="2">
        <v>4</v>
      </c>
      <c r="I220" s="4">
        <v>223.56</v>
      </c>
      <c r="J220" s="5">
        <v>0.2</v>
      </c>
    </row>
    <row r="221" spans="1:10" x14ac:dyDescent="0.25">
      <c r="A221" s="2" t="s">
        <v>416</v>
      </c>
      <c r="B221" s="3">
        <v>45172</v>
      </c>
      <c r="C221" s="2" t="s">
        <v>417</v>
      </c>
      <c r="D221" s="2" t="s">
        <v>17</v>
      </c>
      <c r="E221" s="2" t="s">
        <v>13</v>
      </c>
      <c r="F221" s="2" t="s">
        <v>54</v>
      </c>
      <c r="G221" s="4">
        <v>95.4</v>
      </c>
      <c r="H221" s="2">
        <v>4</v>
      </c>
      <c r="I221" s="4">
        <v>2.97</v>
      </c>
      <c r="J221" s="5">
        <v>0.1</v>
      </c>
    </row>
    <row r="222" spans="1:10" x14ac:dyDescent="0.25">
      <c r="A222" s="2" t="s">
        <v>416</v>
      </c>
      <c r="B222" s="3">
        <v>45172</v>
      </c>
      <c r="C222" s="2" t="s">
        <v>417</v>
      </c>
      <c r="D222" s="2" t="s">
        <v>17</v>
      </c>
      <c r="E222" s="2" t="s">
        <v>13</v>
      </c>
      <c r="F222" s="2" t="s">
        <v>54</v>
      </c>
      <c r="G222" s="4">
        <v>95.4</v>
      </c>
      <c r="H222" s="2">
        <v>4</v>
      </c>
      <c r="I222" s="4">
        <v>2.97</v>
      </c>
      <c r="J222" s="5">
        <v>0.1</v>
      </c>
    </row>
    <row r="223" spans="1:10" x14ac:dyDescent="0.25">
      <c r="A223" s="2" t="s">
        <v>418</v>
      </c>
      <c r="B223" s="3">
        <v>45172</v>
      </c>
      <c r="C223" s="2" t="s">
        <v>300</v>
      </c>
      <c r="D223" s="2" t="s">
        <v>42</v>
      </c>
      <c r="E223" s="2" t="s">
        <v>27</v>
      </c>
      <c r="F223" s="2" t="s">
        <v>28</v>
      </c>
      <c r="G223" s="4">
        <v>444.14</v>
      </c>
      <c r="H223" s="2">
        <v>4</v>
      </c>
      <c r="I223" s="4">
        <v>85.31</v>
      </c>
      <c r="J223" s="5">
        <v>0</v>
      </c>
    </row>
    <row r="224" spans="1:10" x14ac:dyDescent="0.25">
      <c r="A224" s="2" t="s">
        <v>419</v>
      </c>
      <c r="B224" s="3">
        <v>45174</v>
      </c>
      <c r="C224" s="2" t="s">
        <v>420</v>
      </c>
      <c r="D224" s="2" t="s">
        <v>38</v>
      </c>
      <c r="E224" s="2" t="s">
        <v>23</v>
      </c>
      <c r="F224" s="2" t="s">
        <v>24</v>
      </c>
      <c r="G224" s="4">
        <v>70.349999999999994</v>
      </c>
      <c r="H224" s="2">
        <v>2</v>
      </c>
      <c r="I224" s="4">
        <v>10.87</v>
      </c>
      <c r="J224" s="5">
        <v>0</v>
      </c>
    </row>
    <row r="225" spans="1:10" x14ac:dyDescent="0.25">
      <c r="A225" s="2" t="s">
        <v>421</v>
      </c>
      <c r="B225" s="3">
        <v>45179</v>
      </c>
      <c r="C225" s="2" t="s">
        <v>422</v>
      </c>
      <c r="D225" s="2" t="s">
        <v>42</v>
      </c>
      <c r="E225" s="2" t="s">
        <v>27</v>
      </c>
      <c r="F225" s="2" t="s">
        <v>106</v>
      </c>
      <c r="G225" s="4">
        <v>222.2</v>
      </c>
      <c r="H225" s="2">
        <v>2</v>
      </c>
      <c r="I225" s="4">
        <v>-4.1500000000000004</v>
      </c>
      <c r="J225" s="5">
        <v>0.3</v>
      </c>
    </row>
    <row r="226" spans="1:10" x14ac:dyDescent="0.25">
      <c r="A226" s="2" t="s">
        <v>423</v>
      </c>
      <c r="B226" s="3">
        <v>45179</v>
      </c>
      <c r="C226" s="2" t="s">
        <v>202</v>
      </c>
      <c r="D226" s="2" t="s">
        <v>38</v>
      </c>
      <c r="E226" s="2" t="s">
        <v>13</v>
      </c>
      <c r="F226" s="2" t="s">
        <v>80</v>
      </c>
      <c r="G226" s="4">
        <v>70.28</v>
      </c>
      <c r="H226" s="2">
        <v>2</v>
      </c>
      <c r="I226" s="4">
        <v>20.21</v>
      </c>
      <c r="J226" s="5">
        <v>0</v>
      </c>
    </row>
    <row r="227" spans="1:10" x14ac:dyDescent="0.25">
      <c r="A227" s="2" t="s">
        <v>424</v>
      </c>
      <c r="B227" s="3">
        <v>45180</v>
      </c>
      <c r="C227" s="2" t="s">
        <v>320</v>
      </c>
      <c r="D227" s="2" t="s">
        <v>38</v>
      </c>
      <c r="E227" s="2" t="s">
        <v>27</v>
      </c>
      <c r="F227" s="2" t="s">
        <v>28</v>
      </c>
      <c r="G227" s="4">
        <v>1139.1400000000001</v>
      </c>
      <c r="H227" s="2">
        <v>3</v>
      </c>
      <c r="I227" s="4">
        <v>60.12</v>
      </c>
      <c r="J227" s="5">
        <v>0</v>
      </c>
    </row>
    <row r="228" spans="1:10" x14ac:dyDescent="0.25">
      <c r="A228" s="2" t="s">
        <v>425</v>
      </c>
      <c r="B228" s="3">
        <v>45180</v>
      </c>
      <c r="C228" s="2" t="s">
        <v>377</v>
      </c>
      <c r="D228" s="2" t="s">
        <v>38</v>
      </c>
      <c r="E228" s="2" t="s">
        <v>23</v>
      </c>
      <c r="F228" s="2" t="s">
        <v>39</v>
      </c>
      <c r="G228" s="4">
        <v>718.09</v>
      </c>
      <c r="H228" s="2">
        <v>5</v>
      </c>
      <c r="I228" s="4">
        <v>157.87</v>
      </c>
      <c r="J228" s="5">
        <v>0</v>
      </c>
    </row>
    <row r="229" spans="1:10" x14ac:dyDescent="0.25">
      <c r="A229" s="2" t="s">
        <v>426</v>
      </c>
      <c r="B229" s="3">
        <v>45184</v>
      </c>
      <c r="C229" s="2" t="s">
        <v>427</v>
      </c>
      <c r="D229" s="2" t="s">
        <v>38</v>
      </c>
      <c r="E229" s="2" t="s">
        <v>13</v>
      </c>
      <c r="F229" s="2" t="s">
        <v>80</v>
      </c>
      <c r="G229" s="4">
        <v>72.849999999999994</v>
      </c>
      <c r="H229" s="2">
        <v>10</v>
      </c>
      <c r="I229" s="4">
        <v>9.24</v>
      </c>
      <c r="J229" s="5">
        <v>0.1</v>
      </c>
    </row>
    <row r="230" spans="1:10" x14ac:dyDescent="0.25">
      <c r="A230" s="2" t="s">
        <v>428</v>
      </c>
      <c r="B230" s="3">
        <v>45185</v>
      </c>
      <c r="C230" s="2" t="s">
        <v>19</v>
      </c>
      <c r="D230" s="2" t="s">
        <v>17</v>
      </c>
      <c r="E230" s="2" t="s">
        <v>23</v>
      </c>
      <c r="F230" s="2" t="s">
        <v>24</v>
      </c>
      <c r="G230" s="4">
        <v>1580.91</v>
      </c>
      <c r="H230" s="2">
        <v>7</v>
      </c>
      <c r="I230" s="4">
        <v>7.94</v>
      </c>
      <c r="J230" s="5">
        <v>0.3</v>
      </c>
    </row>
    <row r="231" spans="1:10" x14ac:dyDescent="0.25">
      <c r="A231" s="2" t="s">
        <v>429</v>
      </c>
      <c r="B231" s="3">
        <v>45185</v>
      </c>
      <c r="C231" s="2" t="s">
        <v>120</v>
      </c>
      <c r="D231" s="2" t="s">
        <v>42</v>
      </c>
      <c r="E231" s="2" t="s">
        <v>27</v>
      </c>
      <c r="F231" s="2" t="s">
        <v>43</v>
      </c>
      <c r="G231" s="4">
        <v>884.92</v>
      </c>
      <c r="H231" s="2">
        <v>10</v>
      </c>
      <c r="I231" s="4">
        <v>-3.42</v>
      </c>
      <c r="J231" s="5">
        <v>0.2</v>
      </c>
    </row>
    <row r="232" spans="1:10" x14ac:dyDescent="0.25">
      <c r="A232" s="2" t="s">
        <v>430</v>
      </c>
      <c r="B232" s="3">
        <v>45186</v>
      </c>
      <c r="C232" s="2" t="s">
        <v>175</v>
      </c>
      <c r="D232" s="2" t="s">
        <v>17</v>
      </c>
      <c r="E232" s="2" t="s">
        <v>27</v>
      </c>
      <c r="F232" s="2" t="s">
        <v>66</v>
      </c>
      <c r="G232" s="4">
        <v>1467.03</v>
      </c>
      <c r="H232" s="2">
        <v>5</v>
      </c>
      <c r="I232" s="4">
        <v>157.78</v>
      </c>
      <c r="J232" s="5">
        <v>0</v>
      </c>
    </row>
    <row r="233" spans="1:10" x14ac:dyDescent="0.25">
      <c r="A233" s="2" t="s">
        <v>431</v>
      </c>
      <c r="B233" s="3">
        <v>45186</v>
      </c>
      <c r="C233" s="2" t="s">
        <v>432</v>
      </c>
      <c r="D233" s="2" t="s">
        <v>42</v>
      </c>
      <c r="E233" s="2" t="s">
        <v>27</v>
      </c>
      <c r="F233" s="2" t="s">
        <v>106</v>
      </c>
      <c r="G233" s="4">
        <v>3125.15</v>
      </c>
      <c r="H233" s="2">
        <v>9</v>
      </c>
      <c r="I233" s="4">
        <v>696.65</v>
      </c>
      <c r="J233" s="5">
        <v>0.15</v>
      </c>
    </row>
    <row r="234" spans="1:10" x14ac:dyDescent="0.25">
      <c r="A234" s="2" t="s">
        <v>433</v>
      </c>
      <c r="B234" s="3">
        <v>45190</v>
      </c>
      <c r="C234" s="2" t="s">
        <v>434</v>
      </c>
      <c r="D234" s="2" t="s">
        <v>38</v>
      </c>
      <c r="E234" s="2" t="s">
        <v>23</v>
      </c>
      <c r="F234" s="2" t="s">
        <v>71</v>
      </c>
      <c r="G234" s="4">
        <v>163.57</v>
      </c>
      <c r="H234" s="2">
        <v>8</v>
      </c>
      <c r="I234" s="4">
        <v>13.35</v>
      </c>
      <c r="J234" s="5">
        <v>0.2</v>
      </c>
    </row>
    <row r="235" spans="1:10" x14ac:dyDescent="0.25">
      <c r="A235" s="2" t="s">
        <v>435</v>
      </c>
      <c r="B235" s="3">
        <v>45191</v>
      </c>
      <c r="C235" s="2" t="s">
        <v>436</v>
      </c>
      <c r="D235" s="2" t="s">
        <v>17</v>
      </c>
      <c r="E235" s="2" t="s">
        <v>13</v>
      </c>
      <c r="F235" s="2" t="s">
        <v>80</v>
      </c>
      <c r="G235" s="4">
        <v>132.76</v>
      </c>
      <c r="H235" s="2">
        <v>4</v>
      </c>
      <c r="I235" s="4">
        <v>17.010000000000002</v>
      </c>
      <c r="J235" s="5">
        <v>0.2</v>
      </c>
    </row>
    <row r="236" spans="1:10" x14ac:dyDescent="0.25">
      <c r="A236" s="2" t="s">
        <v>437</v>
      </c>
      <c r="B236" s="3">
        <v>45192</v>
      </c>
      <c r="C236" s="2" t="s">
        <v>50</v>
      </c>
      <c r="D236" s="2" t="s">
        <v>42</v>
      </c>
      <c r="E236" s="2" t="s">
        <v>23</v>
      </c>
      <c r="F236" s="2" t="s">
        <v>71</v>
      </c>
      <c r="G236" s="4">
        <v>2742.1</v>
      </c>
      <c r="H236" s="2">
        <v>11</v>
      </c>
      <c r="I236" s="4">
        <v>330.25</v>
      </c>
      <c r="J236" s="5">
        <v>0.2</v>
      </c>
    </row>
    <row r="237" spans="1:10" x14ac:dyDescent="0.25">
      <c r="A237" s="2" t="s">
        <v>438</v>
      </c>
      <c r="B237" s="3">
        <v>45192</v>
      </c>
      <c r="C237" s="2" t="s">
        <v>439</v>
      </c>
      <c r="D237" s="2" t="s">
        <v>12</v>
      </c>
      <c r="E237" s="2" t="s">
        <v>23</v>
      </c>
      <c r="F237" s="2" t="s">
        <v>39</v>
      </c>
      <c r="G237" s="4">
        <v>713.28</v>
      </c>
      <c r="H237" s="2">
        <v>6</v>
      </c>
      <c r="I237" s="4">
        <v>79.22</v>
      </c>
      <c r="J237" s="5">
        <v>0</v>
      </c>
    </row>
    <row r="238" spans="1:10" x14ac:dyDescent="0.25">
      <c r="A238" s="2" t="s">
        <v>440</v>
      </c>
      <c r="B238" s="3">
        <v>45194</v>
      </c>
      <c r="C238" s="2" t="s">
        <v>441</v>
      </c>
      <c r="D238" s="2" t="s">
        <v>38</v>
      </c>
      <c r="E238" s="2" t="s">
        <v>27</v>
      </c>
      <c r="F238" s="2" t="s">
        <v>43</v>
      </c>
      <c r="G238" s="4">
        <v>2975</v>
      </c>
      <c r="H238" s="2">
        <v>9</v>
      </c>
      <c r="I238" s="4">
        <v>817.93</v>
      </c>
      <c r="J238" s="5">
        <v>0</v>
      </c>
    </row>
    <row r="239" spans="1:10" x14ac:dyDescent="0.25">
      <c r="A239" s="2" t="s">
        <v>442</v>
      </c>
      <c r="B239" s="3">
        <v>45197</v>
      </c>
      <c r="C239" s="2" t="s">
        <v>443</v>
      </c>
      <c r="D239" s="2" t="s">
        <v>12</v>
      </c>
      <c r="E239" s="2" t="s">
        <v>27</v>
      </c>
      <c r="F239" s="2" t="s">
        <v>106</v>
      </c>
      <c r="G239" s="4">
        <v>395.8</v>
      </c>
      <c r="H239" s="2">
        <v>1</v>
      </c>
      <c r="I239" s="4">
        <v>15.68</v>
      </c>
      <c r="J239" s="5">
        <v>0.2</v>
      </c>
    </row>
    <row r="240" spans="1:10" x14ac:dyDescent="0.25">
      <c r="A240" s="2" t="s">
        <v>444</v>
      </c>
      <c r="B240" s="3">
        <v>45197</v>
      </c>
      <c r="C240" s="2" t="s">
        <v>445</v>
      </c>
      <c r="D240" s="2" t="s">
        <v>42</v>
      </c>
      <c r="E240" s="2" t="s">
        <v>27</v>
      </c>
      <c r="F240" s="2" t="s">
        <v>28</v>
      </c>
      <c r="G240" s="4">
        <v>1983.18</v>
      </c>
      <c r="H240" s="2">
        <v>11</v>
      </c>
      <c r="I240" s="4">
        <v>306.16000000000003</v>
      </c>
      <c r="J240" s="5">
        <v>0</v>
      </c>
    </row>
    <row r="241" spans="1:10" x14ac:dyDescent="0.25">
      <c r="A241" s="2" t="s">
        <v>446</v>
      </c>
      <c r="B241" s="3">
        <v>45198</v>
      </c>
      <c r="C241" s="2" t="s">
        <v>447</v>
      </c>
      <c r="D241" s="2" t="s">
        <v>38</v>
      </c>
      <c r="E241" s="2" t="s">
        <v>13</v>
      </c>
      <c r="F241" s="2" t="s">
        <v>54</v>
      </c>
      <c r="G241" s="4">
        <v>83.51</v>
      </c>
      <c r="H241" s="2">
        <v>4</v>
      </c>
      <c r="I241" s="4">
        <v>17.239999999999998</v>
      </c>
      <c r="J241" s="5">
        <v>0.1</v>
      </c>
    </row>
    <row r="242" spans="1:10" x14ac:dyDescent="0.25">
      <c r="A242" s="2" t="s">
        <v>448</v>
      </c>
      <c r="B242" s="3">
        <v>45201</v>
      </c>
      <c r="C242" s="2" t="s">
        <v>65</v>
      </c>
      <c r="D242" s="2" t="s">
        <v>17</v>
      </c>
      <c r="E242" s="2" t="s">
        <v>13</v>
      </c>
      <c r="F242" s="2" t="s">
        <v>80</v>
      </c>
      <c r="G242" s="4">
        <v>36.5</v>
      </c>
      <c r="H242" s="2">
        <v>2</v>
      </c>
      <c r="I242" s="4">
        <v>4.8600000000000003</v>
      </c>
      <c r="J242" s="5">
        <v>0.15</v>
      </c>
    </row>
    <row r="243" spans="1:10" x14ac:dyDescent="0.25">
      <c r="A243" s="2" t="s">
        <v>449</v>
      </c>
      <c r="B243" s="3">
        <v>45202</v>
      </c>
      <c r="C243" s="2" t="s">
        <v>220</v>
      </c>
      <c r="D243" s="2" t="s">
        <v>42</v>
      </c>
      <c r="E243" s="2" t="s">
        <v>27</v>
      </c>
      <c r="F243" s="2" t="s">
        <v>66</v>
      </c>
      <c r="G243" s="4">
        <v>669.13</v>
      </c>
      <c r="H243" s="2">
        <v>5</v>
      </c>
      <c r="I243" s="4">
        <v>23.36</v>
      </c>
      <c r="J243" s="5">
        <v>0.3</v>
      </c>
    </row>
    <row r="244" spans="1:10" x14ac:dyDescent="0.25">
      <c r="A244" s="2" t="s">
        <v>450</v>
      </c>
      <c r="B244" s="3">
        <v>45203</v>
      </c>
      <c r="C244" s="2" t="s">
        <v>179</v>
      </c>
      <c r="D244" s="2" t="s">
        <v>17</v>
      </c>
      <c r="E244" s="2" t="s">
        <v>23</v>
      </c>
      <c r="F244" s="2" t="s">
        <v>59</v>
      </c>
      <c r="G244" s="4">
        <v>1093.08</v>
      </c>
      <c r="H244" s="2">
        <v>5</v>
      </c>
      <c r="I244" s="4">
        <v>59.53</v>
      </c>
      <c r="J244" s="5">
        <v>0</v>
      </c>
    </row>
    <row r="245" spans="1:10" x14ac:dyDescent="0.25">
      <c r="A245" s="2" t="s">
        <v>451</v>
      </c>
      <c r="B245" s="3">
        <v>45205</v>
      </c>
      <c r="C245" s="2" t="s">
        <v>452</v>
      </c>
      <c r="D245" s="2" t="s">
        <v>38</v>
      </c>
      <c r="E245" s="2" t="s">
        <v>27</v>
      </c>
      <c r="F245" s="2" t="s">
        <v>66</v>
      </c>
      <c r="G245" s="4">
        <v>1148.97</v>
      </c>
      <c r="H245" s="2">
        <v>4</v>
      </c>
      <c r="I245" s="4">
        <v>78.010000000000005</v>
      </c>
      <c r="J245" s="5">
        <v>0</v>
      </c>
    </row>
    <row r="246" spans="1:10" x14ac:dyDescent="0.25">
      <c r="A246" s="2" t="s">
        <v>453</v>
      </c>
      <c r="B246" s="3">
        <v>45205</v>
      </c>
      <c r="C246" s="2" t="s">
        <v>261</v>
      </c>
      <c r="D246" s="2" t="s">
        <v>12</v>
      </c>
      <c r="E246" s="2" t="s">
        <v>23</v>
      </c>
      <c r="F246" s="2" t="s">
        <v>59</v>
      </c>
      <c r="G246" s="4">
        <v>724.62</v>
      </c>
      <c r="H246" s="2">
        <v>8</v>
      </c>
      <c r="I246" s="4">
        <v>31.84</v>
      </c>
      <c r="J246" s="5">
        <v>0.1</v>
      </c>
    </row>
    <row r="247" spans="1:10" x14ac:dyDescent="0.25">
      <c r="A247" s="2" t="s">
        <v>454</v>
      </c>
      <c r="B247" s="3">
        <v>45209</v>
      </c>
      <c r="C247" s="2" t="s">
        <v>455</v>
      </c>
      <c r="D247" s="2" t="s">
        <v>12</v>
      </c>
      <c r="E247" s="2" t="s">
        <v>13</v>
      </c>
      <c r="F247" s="2" t="s">
        <v>51</v>
      </c>
      <c r="G247" s="4">
        <v>338.85</v>
      </c>
      <c r="H247" s="2">
        <v>9</v>
      </c>
      <c r="I247" s="4">
        <v>64.900000000000006</v>
      </c>
      <c r="J247" s="5">
        <v>0.05</v>
      </c>
    </row>
    <row r="248" spans="1:10" x14ac:dyDescent="0.25">
      <c r="A248" s="2" t="s">
        <v>456</v>
      </c>
      <c r="B248" s="3">
        <v>45210</v>
      </c>
      <c r="C248" s="2" t="s">
        <v>109</v>
      </c>
      <c r="D248" s="2" t="s">
        <v>12</v>
      </c>
      <c r="E248" s="2" t="s">
        <v>13</v>
      </c>
      <c r="F248" s="2" t="s">
        <v>51</v>
      </c>
      <c r="G248" s="4">
        <v>33.64</v>
      </c>
      <c r="H248" s="2">
        <v>1</v>
      </c>
      <c r="I248" s="4">
        <v>1.41</v>
      </c>
      <c r="J248" s="5">
        <v>0.3</v>
      </c>
    </row>
    <row r="249" spans="1:10" x14ac:dyDescent="0.25">
      <c r="A249" s="2" t="s">
        <v>457</v>
      </c>
      <c r="B249" s="3">
        <v>45210</v>
      </c>
      <c r="C249" s="2" t="s">
        <v>458</v>
      </c>
      <c r="D249" s="2" t="s">
        <v>12</v>
      </c>
      <c r="E249" s="2" t="s">
        <v>13</v>
      </c>
      <c r="F249" s="2" t="s">
        <v>14</v>
      </c>
      <c r="G249" s="4">
        <v>105.46</v>
      </c>
      <c r="H249" s="2">
        <v>7</v>
      </c>
      <c r="I249" s="4">
        <v>56.76</v>
      </c>
      <c r="J249" s="5">
        <v>0</v>
      </c>
    </row>
    <row r="250" spans="1:10" x14ac:dyDescent="0.25">
      <c r="A250" s="2" t="s">
        <v>459</v>
      </c>
      <c r="B250" s="3">
        <v>45211</v>
      </c>
      <c r="C250" s="2" t="s">
        <v>45</v>
      </c>
      <c r="D250" s="2" t="s">
        <v>42</v>
      </c>
      <c r="E250" s="2" t="s">
        <v>13</v>
      </c>
      <c r="F250" s="2" t="s">
        <v>80</v>
      </c>
      <c r="G250" s="4">
        <v>244.87</v>
      </c>
      <c r="H250" s="2">
        <v>7</v>
      </c>
      <c r="I250" s="4">
        <v>70.02</v>
      </c>
      <c r="J250" s="5">
        <v>0</v>
      </c>
    </row>
    <row r="251" spans="1:10" x14ac:dyDescent="0.25">
      <c r="A251" s="2" t="s">
        <v>460</v>
      </c>
      <c r="B251" s="3">
        <v>45212</v>
      </c>
      <c r="C251" s="2" t="s">
        <v>163</v>
      </c>
      <c r="D251" s="2" t="s">
        <v>38</v>
      </c>
      <c r="E251" s="2" t="s">
        <v>27</v>
      </c>
      <c r="F251" s="2" t="s">
        <v>66</v>
      </c>
      <c r="G251" s="4">
        <v>3000.53</v>
      </c>
      <c r="H251" s="2">
        <v>10</v>
      </c>
      <c r="I251" s="4">
        <v>305.16000000000003</v>
      </c>
      <c r="J251" s="5">
        <v>0.3</v>
      </c>
    </row>
    <row r="252" spans="1:10" x14ac:dyDescent="0.25">
      <c r="A252" s="2" t="s">
        <v>460</v>
      </c>
      <c r="B252" s="3">
        <v>45212</v>
      </c>
      <c r="C252" s="2" t="s">
        <v>163</v>
      </c>
      <c r="D252" s="2" t="s">
        <v>38</v>
      </c>
      <c r="E252" s="2" t="s">
        <v>27</v>
      </c>
      <c r="F252" s="2" t="s">
        <v>66</v>
      </c>
      <c r="G252" s="4">
        <v>3000.53</v>
      </c>
      <c r="H252" s="2">
        <v>10</v>
      </c>
      <c r="I252" s="4">
        <v>305.16000000000003</v>
      </c>
      <c r="J252" s="5">
        <v>0.3</v>
      </c>
    </row>
    <row r="253" spans="1:10" x14ac:dyDescent="0.25">
      <c r="A253" s="2" t="s">
        <v>461</v>
      </c>
      <c r="B253" s="3">
        <v>45215</v>
      </c>
      <c r="C253" s="2" t="s">
        <v>75</v>
      </c>
      <c r="D253" s="2" t="s">
        <v>42</v>
      </c>
      <c r="E253" s="2" t="s">
        <v>13</v>
      </c>
      <c r="F253" s="2" t="s">
        <v>20</v>
      </c>
      <c r="G253" s="4">
        <v>302.45999999999998</v>
      </c>
      <c r="H253" s="2">
        <v>11</v>
      </c>
      <c r="I253" s="4">
        <v>-22.83</v>
      </c>
      <c r="J253" s="5">
        <v>0.3</v>
      </c>
    </row>
    <row r="254" spans="1:10" x14ac:dyDescent="0.25">
      <c r="A254" s="2" t="s">
        <v>462</v>
      </c>
      <c r="B254" s="3">
        <v>45215</v>
      </c>
      <c r="C254" s="2" t="s">
        <v>463</v>
      </c>
      <c r="D254" s="2" t="s">
        <v>38</v>
      </c>
      <c r="E254" s="2" t="s">
        <v>27</v>
      </c>
      <c r="F254" s="2" t="s">
        <v>66</v>
      </c>
      <c r="G254" s="4">
        <v>3264.7</v>
      </c>
      <c r="H254" s="2">
        <v>11</v>
      </c>
      <c r="I254" s="4">
        <v>-124.77</v>
      </c>
      <c r="J254" s="5">
        <v>0.2</v>
      </c>
    </row>
    <row r="255" spans="1:10" x14ac:dyDescent="0.25">
      <c r="A255" s="2" t="s">
        <v>464</v>
      </c>
      <c r="B255" s="3">
        <v>45216</v>
      </c>
      <c r="C255" s="2" t="s">
        <v>465</v>
      </c>
      <c r="D255" s="2" t="s">
        <v>12</v>
      </c>
      <c r="E255" s="2" t="s">
        <v>13</v>
      </c>
      <c r="F255" s="2" t="s">
        <v>54</v>
      </c>
      <c r="G255" s="4">
        <v>429.84</v>
      </c>
      <c r="H255" s="2">
        <v>11</v>
      </c>
      <c r="I255" s="4">
        <v>51.52</v>
      </c>
      <c r="J255" s="5">
        <v>0.3</v>
      </c>
    </row>
    <row r="256" spans="1:10" x14ac:dyDescent="0.25">
      <c r="A256" s="2" t="s">
        <v>466</v>
      </c>
      <c r="B256" s="3">
        <v>45216</v>
      </c>
      <c r="C256" s="2" t="s">
        <v>82</v>
      </c>
      <c r="D256" s="2" t="s">
        <v>17</v>
      </c>
      <c r="E256" s="2" t="s">
        <v>13</v>
      </c>
      <c r="F256" s="2" t="s">
        <v>54</v>
      </c>
      <c r="G256" s="4">
        <v>51.62</v>
      </c>
      <c r="H256" s="2">
        <v>4</v>
      </c>
      <c r="I256" s="4">
        <v>12.7</v>
      </c>
      <c r="J256" s="5">
        <v>0</v>
      </c>
    </row>
    <row r="257" spans="1:10" x14ac:dyDescent="0.25">
      <c r="A257" s="2" t="s">
        <v>467</v>
      </c>
      <c r="B257" s="3">
        <v>45217</v>
      </c>
      <c r="C257" s="2" t="s">
        <v>468</v>
      </c>
      <c r="D257" s="2" t="s">
        <v>17</v>
      </c>
      <c r="E257" s="2" t="s">
        <v>27</v>
      </c>
      <c r="F257" s="2" t="s">
        <v>106</v>
      </c>
      <c r="G257" s="4">
        <v>273.63</v>
      </c>
      <c r="H257" s="2">
        <v>1</v>
      </c>
      <c r="I257" s="4">
        <v>25.5</v>
      </c>
      <c r="J257" s="5">
        <v>0.15</v>
      </c>
    </row>
    <row r="258" spans="1:10" x14ac:dyDescent="0.25">
      <c r="A258" s="2" t="s">
        <v>469</v>
      </c>
      <c r="B258" s="3">
        <v>45220</v>
      </c>
      <c r="C258" s="2" t="s">
        <v>175</v>
      </c>
      <c r="D258" s="2" t="s">
        <v>17</v>
      </c>
      <c r="E258" s="2" t="s">
        <v>27</v>
      </c>
      <c r="F258" s="2" t="s">
        <v>46</v>
      </c>
      <c r="G258" s="4">
        <v>1353.24</v>
      </c>
      <c r="H258" s="2">
        <v>4</v>
      </c>
      <c r="I258" s="4">
        <v>314.89999999999998</v>
      </c>
      <c r="J258" s="5">
        <v>0</v>
      </c>
    </row>
    <row r="259" spans="1:10" x14ac:dyDescent="0.25">
      <c r="A259" s="2" t="s">
        <v>470</v>
      </c>
      <c r="B259" s="3">
        <v>45221</v>
      </c>
      <c r="C259" s="2" t="s">
        <v>471</v>
      </c>
      <c r="D259" s="2" t="s">
        <v>17</v>
      </c>
      <c r="E259" s="2" t="s">
        <v>27</v>
      </c>
      <c r="F259" s="2" t="s">
        <v>28</v>
      </c>
      <c r="G259" s="4">
        <v>737.13</v>
      </c>
      <c r="H259" s="2">
        <v>4</v>
      </c>
      <c r="I259" s="4">
        <v>-4.3</v>
      </c>
      <c r="J259" s="5">
        <v>0.15</v>
      </c>
    </row>
    <row r="260" spans="1:10" x14ac:dyDescent="0.25">
      <c r="A260" s="2" t="s">
        <v>472</v>
      </c>
      <c r="B260" s="3">
        <v>45222</v>
      </c>
      <c r="C260" s="2" t="s">
        <v>473</v>
      </c>
      <c r="D260" s="2" t="s">
        <v>12</v>
      </c>
      <c r="E260" s="2" t="s">
        <v>23</v>
      </c>
      <c r="F260" s="2" t="s">
        <v>59</v>
      </c>
      <c r="G260" s="4">
        <v>220.28</v>
      </c>
      <c r="H260" s="2">
        <v>4</v>
      </c>
      <c r="I260" s="4">
        <v>-5.65</v>
      </c>
      <c r="J260" s="5">
        <v>0.2</v>
      </c>
    </row>
    <row r="261" spans="1:10" x14ac:dyDescent="0.25">
      <c r="A261" s="2" t="s">
        <v>474</v>
      </c>
      <c r="B261" s="3">
        <v>45223</v>
      </c>
      <c r="C261" s="2" t="s">
        <v>310</v>
      </c>
      <c r="D261" s="2" t="s">
        <v>42</v>
      </c>
      <c r="E261" s="2" t="s">
        <v>27</v>
      </c>
      <c r="F261" s="2" t="s">
        <v>28</v>
      </c>
      <c r="G261" s="4">
        <v>927.17</v>
      </c>
      <c r="H261" s="2">
        <v>10</v>
      </c>
      <c r="I261" s="4">
        <v>222.9</v>
      </c>
      <c r="J261" s="5">
        <v>0.15</v>
      </c>
    </row>
    <row r="262" spans="1:10" x14ac:dyDescent="0.25">
      <c r="A262" s="2" t="s">
        <v>475</v>
      </c>
      <c r="B262" s="3">
        <v>45223</v>
      </c>
      <c r="C262" s="2" t="s">
        <v>476</v>
      </c>
      <c r="D262" s="2" t="s">
        <v>17</v>
      </c>
      <c r="E262" s="2" t="s">
        <v>23</v>
      </c>
      <c r="F262" s="2" t="s">
        <v>59</v>
      </c>
      <c r="G262" s="4">
        <v>506.11</v>
      </c>
      <c r="H262" s="2">
        <v>6</v>
      </c>
      <c r="I262" s="4">
        <v>-8.76</v>
      </c>
      <c r="J262" s="5">
        <v>0.2</v>
      </c>
    </row>
    <row r="263" spans="1:10" x14ac:dyDescent="0.25">
      <c r="A263" s="2" t="s">
        <v>477</v>
      </c>
      <c r="B263" s="3">
        <v>45226</v>
      </c>
      <c r="C263" s="2" t="s">
        <v>436</v>
      </c>
      <c r="D263" s="2" t="s">
        <v>42</v>
      </c>
      <c r="E263" s="2" t="s">
        <v>13</v>
      </c>
      <c r="F263" s="2" t="s">
        <v>20</v>
      </c>
      <c r="G263" s="4">
        <v>21.51</v>
      </c>
      <c r="H263" s="2">
        <v>2</v>
      </c>
      <c r="I263" s="4">
        <v>-0.73</v>
      </c>
      <c r="J263" s="5">
        <v>0.2</v>
      </c>
    </row>
    <row r="264" spans="1:10" x14ac:dyDescent="0.25">
      <c r="A264" s="2" t="s">
        <v>478</v>
      </c>
      <c r="B264" s="3">
        <v>45227</v>
      </c>
      <c r="C264" s="2" t="s">
        <v>479</v>
      </c>
      <c r="D264" s="2" t="s">
        <v>12</v>
      </c>
      <c r="E264" s="2" t="s">
        <v>23</v>
      </c>
      <c r="F264" s="2" t="s">
        <v>35</v>
      </c>
      <c r="G264" s="4">
        <v>463.61</v>
      </c>
      <c r="H264" s="2">
        <v>2</v>
      </c>
      <c r="I264" s="4">
        <v>38.01</v>
      </c>
      <c r="J264" s="5">
        <v>0.2</v>
      </c>
    </row>
    <row r="265" spans="1:10" x14ac:dyDescent="0.25">
      <c r="A265" s="2" t="s">
        <v>480</v>
      </c>
      <c r="B265" s="3">
        <v>45229</v>
      </c>
      <c r="C265" s="2" t="s">
        <v>481</v>
      </c>
      <c r="D265" s="2" t="s">
        <v>38</v>
      </c>
      <c r="E265" s="2" t="s">
        <v>13</v>
      </c>
      <c r="F265" s="2" t="s">
        <v>51</v>
      </c>
      <c r="G265" s="4">
        <v>31.92</v>
      </c>
      <c r="H265" s="2">
        <v>2</v>
      </c>
      <c r="I265" s="4">
        <v>3.35</v>
      </c>
      <c r="J265" s="5">
        <v>0</v>
      </c>
    </row>
    <row r="266" spans="1:10" x14ac:dyDescent="0.25">
      <c r="A266" s="2" t="s">
        <v>482</v>
      </c>
      <c r="B266" s="3">
        <v>45231</v>
      </c>
      <c r="C266" s="2" t="s">
        <v>259</v>
      </c>
      <c r="D266" s="2" t="s">
        <v>17</v>
      </c>
      <c r="E266" s="2" t="s">
        <v>27</v>
      </c>
      <c r="F266" s="2" t="s">
        <v>66</v>
      </c>
      <c r="G266" s="4">
        <v>1425.75</v>
      </c>
      <c r="H266" s="2">
        <v>10</v>
      </c>
      <c r="I266" s="4">
        <v>42.3</v>
      </c>
      <c r="J266" s="5">
        <v>0.2</v>
      </c>
    </row>
    <row r="267" spans="1:10" x14ac:dyDescent="0.25">
      <c r="A267" s="2" t="s">
        <v>483</v>
      </c>
      <c r="B267" s="3">
        <v>45232</v>
      </c>
      <c r="C267" s="2" t="s">
        <v>484</v>
      </c>
      <c r="D267" s="2" t="s">
        <v>42</v>
      </c>
      <c r="E267" s="2" t="s">
        <v>13</v>
      </c>
      <c r="F267" s="2" t="s">
        <v>51</v>
      </c>
      <c r="G267" s="4">
        <v>311.89999999999998</v>
      </c>
      <c r="H267" s="2">
        <v>8</v>
      </c>
      <c r="I267" s="4">
        <v>79.25</v>
      </c>
      <c r="J267" s="5">
        <v>0</v>
      </c>
    </row>
    <row r="268" spans="1:10" x14ac:dyDescent="0.25">
      <c r="A268" s="2" t="s">
        <v>483</v>
      </c>
      <c r="B268" s="3">
        <v>45232</v>
      </c>
      <c r="C268" s="2" t="s">
        <v>484</v>
      </c>
      <c r="D268" s="2" t="s">
        <v>42</v>
      </c>
      <c r="E268" s="2" t="s">
        <v>13</v>
      </c>
      <c r="F268" s="2" t="s">
        <v>485</v>
      </c>
      <c r="G268" s="4">
        <v>311.89999999999998</v>
      </c>
      <c r="H268" s="2">
        <v>8</v>
      </c>
      <c r="I268" s="4">
        <v>79.25</v>
      </c>
      <c r="J268" s="5">
        <v>0</v>
      </c>
    </row>
    <row r="269" spans="1:10" x14ac:dyDescent="0.25">
      <c r="A269" s="2" t="s">
        <v>486</v>
      </c>
      <c r="B269" s="3">
        <v>45235</v>
      </c>
      <c r="C269" s="2" t="s">
        <v>111</v>
      </c>
      <c r="D269" s="2" t="s">
        <v>17</v>
      </c>
      <c r="E269" s="2" t="s">
        <v>13</v>
      </c>
      <c r="F269" s="2" t="s">
        <v>51</v>
      </c>
      <c r="G269" s="4">
        <v>57.68</v>
      </c>
      <c r="H269" s="2">
        <v>9</v>
      </c>
      <c r="I269" s="4">
        <v>11.6</v>
      </c>
      <c r="J269" s="5">
        <v>0.15</v>
      </c>
    </row>
    <row r="270" spans="1:10" x14ac:dyDescent="0.25">
      <c r="A270" s="2" t="s">
        <v>487</v>
      </c>
      <c r="B270" s="3">
        <v>45236</v>
      </c>
      <c r="C270" s="2" t="s">
        <v>403</v>
      </c>
      <c r="D270" s="2" t="s">
        <v>38</v>
      </c>
      <c r="E270" s="2" t="s">
        <v>27</v>
      </c>
      <c r="F270" s="2" t="s">
        <v>114</v>
      </c>
      <c r="G270" s="4">
        <v>2097.66</v>
      </c>
      <c r="H270" s="2">
        <v>6</v>
      </c>
      <c r="I270" s="4">
        <v>156</v>
      </c>
      <c r="J270" s="5">
        <v>0</v>
      </c>
    </row>
    <row r="271" spans="1:10" x14ac:dyDescent="0.25">
      <c r="A271" s="2" t="s">
        <v>488</v>
      </c>
      <c r="B271" s="3">
        <v>45236</v>
      </c>
      <c r="C271" s="2" t="s">
        <v>489</v>
      </c>
      <c r="D271" s="2" t="s">
        <v>38</v>
      </c>
      <c r="E271" s="2" t="s">
        <v>27</v>
      </c>
      <c r="F271" s="2" t="s">
        <v>114</v>
      </c>
      <c r="G271" s="4">
        <v>1238.54</v>
      </c>
      <c r="H271" s="2">
        <v>4</v>
      </c>
      <c r="I271" s="4">
        <v>175.41</v>
      </c>
      <c r="J271" s="5">
        <v>0.1</v>
      </c>
    </row>
    <row r="272" spans="1:10" x14ac:dyDescent="0.25">
      <c r="A272" s="2" t="s">
        <v>490</v>
      </c>
      <c r="B272" s="3">
        <v>45237</v>
      </c>
      <c r="C272" s="2" t="s">
        <v>118</v>
      </c>
      <c r="D272" s="2" t="s">
        <v>17</v>
      </c>
      <c r="E272" s="2" t="s">
        <v>23</v>
      </c>
      <c r="F272" s="2" t="s">
        <v>59</v>
      </c>
      <c r="G272" s="4">
        <v>1501.65</v>
      </c>
      <c r="H272" s="2">
        <v>9</v>
      </c>
      <c r="I272" s="4">
        <v>252.98</v>
      </c>
      <c r="J272" s="5">
        <v>0.05</v>
      </c>
    </row>
    <row r="273" spans="1:10" x14ac:dyDescent="0.25">
      <c r="A273" s="2" t="s">
        <v>491</v>
      </c>
      <c r="B273" s="3">
        <v>45238</v>
      </c>
      <c r="C273" s="2" t="s">
        <v>336</v>
      </c>
      <c r="D273" s="2" t="s">
        <v>17</v>
      </c>
      <c r="E273" s="2" t="s">
        <v>27</v>
      </c>
      <c r="F273" s="2" t="s">
        <v>114</v>
      </c>
      <c r="G273" s="4">
        <v>877.56</v>
      </c>
      <c r="H273" s="2">
        <v>5</v>
      </c>
      <c r="I273" s="4">
        <v>159.87</v>
      </c>
      <c r="J273" s="5">
        <v>0.1</v>
      </c>
    </row>
    <row r="274" spans="1:10" x14ac:dyDescent="0.25">
      <c r="A274" s="2" t="s">
        <v>492</v>
      </c>
      <c r="B274" s="3">
        <v>45238</v>
      </c>
      <c r="C274" s="2" t="s">
        <v>493</v>
      </c>
      <c r="D274" s="2" t="s">
        <v>42</v>
      </c>
      <c r="E274" s="2" t="s">
        <v>27</v>
      </c>
      <c r="F274" s="2" t="s">
        <v>28</v>
      </c>
      <c r="G274" s="4">
        <v>178.97</v>
      </c>
      <c r="H274" s="2">
        <v>1</v>
      </c>
      <c r="I274" s="4">
        <v>9.6300000000000008</v>
      </c>
      <c r="J274" s="5">
        <v>0</v>
      </c>
    </row>
    <row r="275" spans="1:10" x14ac:dyDescent="0.25">
      <c r="A275" s="2" t="s">
        <v>494</v>
      </c>
      <c r="B275" s="3">
        <v>45238</v>
      </c>
      <c r="C275" s="2" t="s">
        <v>495</v>
      </c>
      <c r="D275" s="2" t="s">
        <v>42</v>
      </c>
      <c r="E275" s="2" t="s">
        <v>27</v>
      </c>
      <c r="F275" s="2" t="s">
        <v>114</v>
      </c>
      <c r="G275" s="4">
        <v>515.63</v>
      </c>
      <c r="H275" s="2">
        <v>4</v>
      </c>
      <c r="I275" s="4">
        <v>118.43</v>
      </c>
      <c r="J275" s="5">
        <v>0</v>
      </c>
    </row>
    <row r="276" spans="1:10" x14ac:dyDescent="0.25">
      <c r="A276" s="2" t="s">
        <v>496</v>
      </c>
      <c r="B276" s="3">
        <v>45242</v>
      </c>
      <c r="C276" s="2" t="s">
        <v>497</v>
      </c>
      <c r="D276" s="2" t="s">
        <v>42</v>
      </c>
      <c r="E276" s="2" t="s">
        <v>23</v>
      </c>
      <c r="F276" s="2" t="s">
        <v>35</v>
      </c>
      <c r="G276" s="4">
        <v>592.17999999999995</v>
      </c>
      <c r="H276" s="2">
        <v>10</v>
      </c>
      <c r="I276" s="4">
        <v>97.01</v>
      </c>
      <c r="J276" s="5">
        <v>0</v>
      </c>
    </row>
    <row r="277" spans="1:10" x14ac:dyDescent="0.25">
      <c r="A277" s="2" t="s">
        <v>498</v>
      </c>
      <c r="B277" s="3">
        <v>45243</v>
      </c>
      <c r="C277" s="2" t="s">
        <v>314</v>
      </c>
      <c r="D277" s="2" t="s">
        <v>12</v>
      </c>
      <c r="E277" s="2" t="s">
        <v>27</v>
      </c>
      <c r="F277" s="2" t="s">
        <v>43</v>
      </c>
      <c r="G277" s="4">
        <v>1312.89</v>
      </c>
      <c r="H277" s="2">
        <v>4</v>
      </c>
      <c r="I277" s="4">
        <v>325.66000000000003</v>
      </c>
      <c r="J277" s="5">
        <v>0.1</v>
      </c>
    </row>
    <row r="278" spans="1:10" x14ac:dyDescent="0.25">
      <c r="A278" s="2" t="s">
        <v>499</v>
      </c>
      <c r="B278" s="3">
        <v>45244</v>
      </c>
      <c r="C278" s="2" t="s">
        <v>500</v>
      </c>
      <c r="D278" s="2" t="s">
        <v>17</v>
      </c>
      <c r="E278" s="2" t="s">
        <v>13</v>
      </c>
      <c r="F278" s="2" t="s">
        <v>20</v>
      </c>
      <c r="G278" s="4">
        <v>151.16</v>
      </c>
      <c r="H278" s="2">
        <v>5</v>
      </c>
      <c r="I278" s="4">
        <v>36.049999999999997</v>
      </c>
      <c r="J278" s="5">
        <v>0</v>
      </c>
    </row>
    <row r="279" spans="1:10" x14ac:dyDescent="0.25">
      <c r="A279" s="2" t="s">
        <v>501</v>
      </c>
      <c r="B279" s="3">
        <v>45246</v>
      </c>
      <c r="C279" s="2" t="s">
        <v>502</v>
      </c>
      <c r="D279" s="2" t="s">
        <v>12</v>
      </c>
      <c r="E279" s="2" t="s">
        <v>27</v>
      </c>
      <c r="F279" s="2" t="s">
        <v>28</v>
      </c>
      <c r="G279" s="4">
        <v>3030.87</v>
      </c>
      <c r="H279" s="2">
        <v>11</v>
      </c>
      <c r="I279" s="4">
        <v>601.53</v>
      </c>
      <c r="J279" s="5">
        <v>0.15</v>
      </c>
    </row>
    <row r="280" spans="1:10" x14ac:dyDescent="0.25">
      <c r="A280" s="2" t="s">
        <v>503</v>
      </c>
      <c r="B280" s="3">
        <v>45247</v>
      </c>
      <c r="C280" s="2" t="s">
        <v>504</v>
      </c>
      <c r="D280" s="2" t="s">
        <v>42</v>
      </c>
      <c r="E280" s="2" t="s">
        <v>13</v>
      </c>
      <c r="F280" s="2" t="s">
        <v>80</v>
      </c>
      <c r="G280" s="4">
        <v>300.24</v>
      </c>
      <c r="H280" s="2">
        <v>8</v>
      </c>
      <c r="I280" s="4">
        <v>-38.97</v>
      </c>
      <c r="J280" s="5">
        <v>0.3</v>
      </c>
    </row>
    <row r="281" spans="1:10" x14ac:dyDescent="0.25">
      <c r="A281" s="2" t="s">
        <v>505</v>
      </c>
      <c r="B281" s="3">
        <v>45249</v>
      </c>
      <c r="C281" s="2" t="s">
        <v>506</v>
      </c>
      <c r="D281" s="2" t="s">
        <v>42</v>
      </c>
      <c r="E281" s="2" t="s">
        <v>27</v>
      </c>
      <c r="F281" s="2" t="s">
        <v>43</v>
      </c>
      <c r="G281" s="4">
        <v>407</v>
      </c>
      <c r="H281" s="2">
        <v>4</v>
      </c>
      <c r="I281" s="4">
        <v>-7.34</v>
      </c>
      <c r="J281" s="5">
        <v>0.3</v>
      </c>
    </row>
    <row r="282" spans="1:10" x14ac:dyDescent="0.25">
      <c r="A282" s="2" t="s">
        <v>507</v>
      </c>
      <c r="B282" s="3">
        <v>45250</v>
      </c>
      <c r="C282" s="2" t="s">
        <v>441</v>
      </c>
      <c r="D282" s="2" t="s">
        <v>42</v>
      </c>
      <c r="E282" s="2" t="s">
        <v>23</v>
      </c>
      <c r="F282" s="2" t="s">
        <v>35</v>
      </c>
      <c r="G282" s="4">
        <v>363.7</v>
      </c>
      <c r="H282" s="2">
        <v>3</v>
      </c>
      <c r="I282" s="4">
        <v>90.33</v>
      </c>
      <c r="J282" s="5">
        <v>0.05</v>
      </c>
    </row>
    <row r="283" spans="1:10" x14ac:dyDescent="0.25">
      <c r="A283" s="2" t="s">
        <v>508</v>
      </c>
      <c r="B283" s="3">
        <v>45251</v>
      </c>
      <c r="C283" s="2" t="s">
        <v>75</v>
      </c>
      <c r="D283" s="2" t="s">
        <v>17</v>
      </c>
      <c r="E283" s="2" t="s">
        <v>27</v>
      </c>
      <c r="F283" s="2" t="s">
        <v>106</v>
      </c>
      <c r="G283" s="4">
        <v>3277.32</v>
      </c>
      <c r="H283" s="2">
        <v>11</v>
      </c>
      <c r="I283" s="4">
        <v>122.48</v>
      </c>
      <c r="J283" s="5">
        <v>0.05</v>
      </c>
    </row>
    <row r="284" spans="1:10" x14ac:dyDescent="0.25">
      <c r="A284" s="2" t="s">
        <v>509</v>
      </c>
      <c r="B284" s="3">
        <v>45251</v>
      </c>
      <c r="C284" s="2" t="s">
        <v>510</v>
      </c>
      <c r="D284" s="2" t="s">
        <v>38</v>
      </c>
      <c r="E284" s="2" t="s">
        <v>27</v>
      </c>
      <c r="F284" s="2" t="s">
        <v>43</v>
      </c>
      <c r="G284" s="4">
        <v>2554.7399999999998</v>
      </c>
      <c r="H284" s="2">
        <v>10</v>
      </c>
      <c r="I284" s="4">
        <v>322.19</v>
      </c>
      <c r="J284" s="5">
        <v>0.1</v>
      </c>
    </row>
    <row r="285" spans="1:10" x14ac:dyDescent="0.25">
      <c r="A285" s="2" t="s">
        <v>511</v>
      </c>
      <c r="B285" s="3">
        <v>45252</v>
      </c>
      <c r="C285" s="2" t="s">
        <v>512</v>
      </c>
      <c r="D285" s="2" t="s">
        <v>42</v>
      </c>
      <c r="E285" s="2" t="s">
        <v>23</v>
      </c>
      <c r="F285" s="2" t="s">
        <v>71</v>
      </c>
      <c r="G285" s="4">
        <v>1434.52</v>
      </c>
      <c r="H285" s="2">
        <v>9</v>
      </c>
      <c r="I285" s="4">
        <v>288.01</v>
      </c>
      <c r="J285" s="5">
        <v>0</v>
      </c>
    </row>
    <row r="286" spans="1:10" x14ac:dyDescent="0.25">
      <c r="A286" s="2" t="s">
        <v>513</v>
      </c>
      <c r="B286" s="3">
        <v>45252</v>
      </c>
      <c r="C286" s="2" t="s">
        <v>514</v>
      </c>
      <c r="D286" s="2" t="s">
        <v>17</v>
      </c>
      <c r="E286" s="2" t="s">
        <v>13</v>
      </c>
      <c r="F286" s="2" t="s">
        <v>20</v>
      </c>
      <c r="G286" s="4">
        <v>40.71</v>
      </c>
      <c r="H286" s="2">
        <v>3</v>
      </c>
      <c r="I286" s="4">
        <v>11.68</v>
      </c>
      <c r="J286" s="5">
        <v>0.1</v>
      </c>
    </row>
    <row r="287" spans="1:10" x14ac:dyDescent="0.25">
      <c r="A287" s="2" t="s">
        <v>515</v>
      </c>
      <c r="B287" s="3">
        <v>45255</v>
      </c>
      <c r="C287" s="2" t="s">
        <v>516</v>
      </c>
      <c r="D287" s="2" t="s">
        <v>38</v>
      </c>
      <c r="E287" s="2" t="s">
        <v>13</v>
      </c>
      <c r="F287" s="2" t="s">
        <v>80</v>
      </c>
      <c r="G287" s="4">
        <v>259.25</v>
      </c>
      <c r="H287" s="2">
        <v>11</v>
      </c>
      <c r="I287" s="4">
        <v>47.19</v>
      </c>
      <c r="J287" s="5">
        <v>0</v>
      </c>
    </row>
    <row r="288" spans="1:10" x14ac:dyDescent="0.25">
      <c r="A288" s="2" t="s">
        <v>517</v>
      </c>
      <c r="B288" s="3">
        <v>45255</v>
      </c>
      <c r="C288" s="2" t="s">
        <v>518</v>
      </c>
      <c r="D288" s="2" t="s">
        <v>42</v>
      </c>
      <c r="E288" s="2" t="s">
        <v>13</v>
      </c>
      <c r="F288" s="2" t="s">
        <v>51</v>
      </c>
      <c r="G288" s="4">
        <v>57.61</v>
      </c>
      <c r="H288" s="2">
        <v>2</v>
      </c>
      <c r="I288" s="4">
        <v>16.149999999999999</v>
      </c>
      <c r="J288" s="5">
        <v>0</v>
      </c>
    </row>
    <row r="289" spans="1:10" x14ac:dyDescent="0.25">
      <c r="A289" s="2" t="s">
        <v>519</v>
      </c>
      <c r="B289" s="3">
        <v>45256</v>
      </c>
      <c r="C289" s="2" t="s">
        <v>520</v>
      </c>
      <c r="D289" s="2" t="s">
        <v>17</v>
      </c>
      <c r="E289" s="2" t="s">
        <v>23</v>
      </c>
      <c r="F289" s="2" t="s">
        <v>59</v>
      </c>
      <c r="G289" s="4">
        <v>1258.83</v>
      </c>
      <c r="H289" s="2">
        <v>6</v>
      </c>
      <c r="I289" s="4">
        <v>306.91000000000003</v>
      </c>
      <c r="J289" s="5">
        <v>0</v>
      </c>
    </row>
    <row r="290" spans="1:10" x14ac:dyDescent="0.25">
      <c r="A290" s="2" t="s">
        <v>521</v>
      </c>
      <c r="B290" s="3">
        <v>45256</v>
      </c>
      <c r="C290" s="2" t="s">
        <v>522</v>
      </c>
      <c r="D290" s="2" t="s">
        <v>12</v>
      </c>
      <c r="E290" s="2" t="s">
        <v>13</v>
      </c>
      <c r="F290" s="2" t="s">
        <v>51</v>
      </c>
      <c r="G290" s="4">
        <v>256.92</v>
      </c>
      <c r="H290" s="2">
        <v>11</v>
      </c>
      <c r="I290" s="4">
        <v>-6.48</v>
      </c>
      <c r="J290" s="5">
        <v>0.2</v>
      </c>
    </row>
    <row r="291" spans="1:10" x14ac:dyDescent="0.25">
      <c r="A291" s="2" t="s">
        <v>523</v>
      </c>
      <c r="B291" s="3">
        <v>45260</v>
      </c>
      <c r="C291" s="2" t="s">
        <v>278</v>
      </c>
      <c r="D291" s="2" t="s">
        <v>17</v>
      </c>
      <c r="E291" s="2" t="s">
        <v>13</v>
      </c>
      <c r="F291" s="2" t="s">
        <v>80</v>
      </c>
      <c r="G291" s="4">
        <v>308.54000000000002</v>
      </c>
      <c r="H291" s="2">
        <v>10</v>
      </c>
      <c r="I291" s="4">
        <v>99.96</v>
      </c>
      <c r="J291" s="5">
        <v>0</v>
      </c>
    </row>
    <row r="292" spans="1:10" x14ac:dyDescent="0.25">
      <c r="A292" s="2" t="s">
        <v>524</v>
      </c>
      <c r="B292" s="3">
        <v>45261</v>
      </c>
      <c r="C292" s="2" t="s">
        <v>63</v>
      </c>
      <c r="D292" s="2" t="s">
        <v>12</v>
      </c>
      <c r="E292" s="2" t="s">
        <v>27</v>
      </c>
      <c r="F292" s="2" t="s">
        <v>66</v>
      </c>
      <c r="G292" s="4">
        <v>1268.8599999999999</v>
      </c>
      <c r="H292" s="2">
        <v>3</v>
      </c>
      <c r="I292" s="4">
        <v>17.829999999999998</v>
      </c>
      <c r="J292" s="5">
        <v>0.15</v>
      </c>
    </row>
    <row r="293" spans="1:10" x14ac:dyDescent="0.25">
      <c r="A293" s="2" t="s">
        <v>525</v>
      </c>
      <c r="B293" s="3">
        <v>45265</v>
      </c>
      <c r="C293" s="2" t="s">
        <v>526</v>
      </c>
      <c r="D293" s="2" t="s">
        <v>12</v>
      </c>
      <c r="E293" s="2" t="s">
        <v>27</v>
      </c>
      <c r="F293" s="2" t="s">
        <v>66</v>
      </c>
      <c r="G293" s="4">
        <v>545.82000000000005</v>
      </c>
      <c r="H293" s="2">
        <v>5</v>
      </c>
      <c r="I293" s="4">
        <v>22.28</v>
      </c>
      <c r="J293" s="5">
        <v>0.2</v>
      </c>
    </row>
    <row r="294" spans="1:10" x14ac:dyDescent="0.25">
      <c r="A294" s="2" t="s">
        <v>527</v>
      </c>
      <c r="B294" s="3">
        <v>45265</v>
      </c>
      <c r="C294" s="2" t="s">
        <v>528</v>
      </c>
      <c r="D294" s="2" t="s">
        <v>17</v>
      </c>
      <c r="E294" s="2" t="s">
        <v>23</v>
      </c>
      <c r="F294" s="2" t="s">
        <v>59</v>
      </c>
      <c r="G294" s="4">
        <v>107.84</v>
      </c>
      <c r="H294" s="2">
        <v>6</v>
      </c>
      <c r="I294" s="4">
        <v>19.059999999999999</v>
      </c>
      <c r="J294" s="5">
        <v>0.2</v>
      </c>
    </row>
    <row r="295" spans="1:10" x14ac:dyDescent="0.25">
      <c r="A295" s="2" t="s">
        <v>529</v>
      </c>
      <c r="B295" s="3">
        <v>45266</v>
      </c>
      <c r="C295" s="2" t="s">
        <v>304</v>
      </c>
      <c r="D295" s="2" t="s">
        <v>42</v>
      </c>
      <c r="E295" s="2" t="s">
        <v>13</v>
      </c>
      <c r="F295" s="2" t="s">
        <v>20</v>
      </c>
      <c r="G295" s="4">
        <v>103.6</v>
      </c>
      <c r="H295" s="2">
        <v>4</v>
      </c>
      <c r="I295" s="4">
        <v>3.43</v>
      </c>
      <c r="J295" s="5">
        <v>0.15</v>
      </c>
    </row>
    <row r="296" spans="1:10" x14ac:dyDescent="0.25">
      <c r="A296" s="2" t="s">
        <v>530</v>
      </c>
      <c r="B296" s="3">
        <v>45267</v>
      </c>
      <c r="C296" s="2" t="s">
        <v>531</v>
      </c>
      <c r="D296" s="2" t="s">
        <v>17</v>
      </c>
      <c r="E296" s="2" t="s">
        <v>23</v>
      </c>
      <c r="F296" s="2" t="s">
        <v>59</v>
      </c>
      <c r="G296" s="4">
        <v>1159.51</v>
      </c>
      <c r="H296" s="2">
        <v>5</v>
      </c>
      <c r="I296" s="4">
        <v>89.71</v>
      </c>
      <c r="J296" s="5">
        <v>0</v>
      </c>
    </row>
    <row r="297" spans="1:10" x14ac:dyDescent="0.25">
      <c r="A297" s="2" t="s">
        <v>532</v>
      </c>
      <c r="B297" s="3">
        <v>45269</v>
      </c>
      <c r="C297" s="2" t="s">
        <v>533</v>
      </c>
      <c r="D297" s="2" t="s">
        <v>38</v>
      </c>
      <c r="E297" s="2" t="s">
        <v>23</v>
      </c>
      <c r="F297" s="2" t="s">
        <v>24</v>
      </c>
      <c r="G297" s="4">
        <v>346.92</v>
      </c>
      <c r="H297" s="2">
        <v>9</v>
      </c>
      <c r="I297" s="4">
        <v>60.78</v>
      </c>
      <c r="J297" s="5">
        <v>0.15</v>
      </c>
    </row>
    <row r="298" spans="1:10" x14ac:dyDescent="0.25">
      <c r="A298" s="2" t="s">
        <v>534</v>
      </c>
      <c r="B298" s="3">
        <v>45271</v>
      </c>
      <c r="C298" s="2" t="s">
        <v>116</v>
      </c>
      <c r="D298" s="2" t="s">
        <v>17</v>
      </c>
      <c r="E298" s="2" t="s">
        <v>13</v>
      </c>
      <c r="F298" s="2" t="s">
        <v>51</v>
      </c>
      <c r="G298" s="4">
        <v>59.85</v>
      </c>
      <c r="H298" s="2">
        <v>5</v>
      </c>
      <c r="I298" s="4">
        <v>18.86</v>
      </c>
      <c r="J298" s="5">
        <v>0.05</v>
      </c>
    </row>
    <row r="299" spans="1:10" x14ac:dyDescent="0.25">
      <c r="A299" s="2" t="s">
        <v>535</v>
      </c>
      <c r="B299" s="3">
        <v>45271</v>
      </c>
      <c r="C299" s="2" t="s">
        <v>19</v>
      </c>
      <c r="D299" s="2" t="s">
        <v>42</v>
      </c>
      <c r="E299" s="2" t="s">
        <v>27</v>
      </c>
      <c r="F299" s="2" t="s">
        <v>43</v>
      </c>
      <c r="G299" s="4">
        <v>4309.3</v>
      </c>
      <c r="H299" s="2">
        <v>12</v>
      </c>
      <c r="I299" s="4">
        <v>-257.26</v>
      </c>
      <c r="J299" s="5">
        <v>0.3</v>
      </c>
    </row>
    <row r="300" spans="1:10" x14ac:dyDescent="0.25">
      <c r="A300" s="2" t="s">
        <v>536</v>
      </c>
      <c r="B300" s="3">
        <v>45272</v>
      </c>
      <c r="C300" s="2" t="s">
        <v>537</v>
      </c>
      <c r="D300" s="2" t="s">
        <v>12</v>
      </c>
      <c r="E300" s="2" t="s">
        <v>13</v>
      </c>
      <c r="F300" s="2" t="s">
        <v>80</v>
      </c>
      <c r="G300" s="4">
        <v>144.75</v>
      </c>
      <c r="H300" s="2">
        <v>9</v>
      </c>
      <c r="I300" s="4">
        <v>19.07</v>
      </c>
      <c r="J300" s="5">
        <v>0.3</v>
      </c>
    </row>
    <row r="301" spans="1:10" x14ac:dyDescent="0.25">
      <c r="A301" s="2" t="s">
        <v>538</v>
      </c>
      <c r="B301" s="3">
        <v>45272</v>
      </c>
      <c r="C301" s="2" t="s">
        <v>124</v>
      </c>
      <c r="D301" s="2" t="s">
        <v>12</v>
      </c>
      <c r="E301" s="2" t="s">
        <v>23</v>
      </c>
      <c r="F301" s="2" t="s">
        <v>71</v>
      </c>
      <c r="G301" s="4">
        <v>962.24</v>
      </c>
      <c r="H301" s="2">
        <v>4</v>
      </c>
      <c r="I301" s="4">
        <v>238.3</v>
      </c>
      <c r="J301" s="5">
        <v>0</v>
      </c>
    </row>
    <row r="302" spans="1:10" x14ac:dyDescent="0.25">
      <c r="A302" s="2" t="s">
        <v>539</v>
      </c>
      <c r="B302" s="3">
        <v>45273</v>
      </c>
      <c r="C302" s="2" t="s">
        <v>217</v>
      </c>
      <c r="D302" s="2" t="s">
        <v>42</v>
      </c>
      <c r="E302" s="2" t="s">
        <v>23</v>
      </c>
      <c r="F302" s="2" t="s">
        <v>59</v>
      </c>
      <c r="G302" s="4">
        <v>408.78</v>
      </c>
      <c r="H302" s="2">
        <v>3</v>
      </c>
      <c r="I302" s="4">
        <v>61.03</v>
      </c>
      <c r="J302" s="5">
        <v>0</v>
      </c>
    </row>
    <row r="303" spans="1:10" x14ac:dyDescent="0.25">
      <c r="A303" s="2" t="s">
        <v>540</v>
      </c>
      <c r="B303" s="3">
        <v>45273</v>
      </c>
      <c r="C303" s="2" t="s">
        <v>541</v>
      </c>
      <c r="D303" s="2" t="s">
        <v>17</v>
      </c>
      <c r="E303" s="2" t="s">
        <v>23</v>
      </c>
      <c r="F303" s="2" t="s">
        <v>71</v>
      </c>
      <c r="G303" s="4">
        <v>1865.87</v>
      </c>
      <c r="H303" s="2">
        <v>9</v>
      </c>
      <c r="I303" s="4">
        <v>255.88</v>
      </c>
      <c r="J303" s="5">
        <v>0</v>
      </c>
    </row>
    <row r="304" spans="1:10" x14ac:dyDescent="0.25">
      <c r="A304" s="2" t="s">
        <v>542</v>
      </c>
      <c r="B304" s="3">
        <v>45273</v>
      </c>
      <c r="C304" s="2" t="s">
        <v>365</v>
      </c>
      <c r="D304" s="2" t="s">
        <v>17</v>
      </c>
      <c r="E304" s="2" t="s">
        <v>13</v>
      </c>
      <c r="F304" s="2" t="s">
        <v>51</v>
      </c>
      <c r="G304" s="4">
        <v>397.53</v>
      </c>
      <c r="H304" s="2">
        <v>12</v>
      </c>
      <c r="I304" s="4">
        <v>-28.75</v>
      </c>
      <c r="J304" s="5">
        <v>0.3</v>
      </c>
    </row>
    <row r="305" spans="1:10" x14ac:dyDescent="0.25">
      <c r="A305" s="2" t="s">
        <v>543</v>
      </c>
      <c r="B305" s="3">
        <v>45273</v>
      </c>
      <c r="C305" s="2" t="s">
        <v>544</v>
      </c>
      <c r="D305" s="2" t="s">
        <v>38</v>
      </c>
      <c r="E305" s="2" t="s">
        <v>13</v>
      </c>
      <c r="F305" s="2" t="s">
        <v>20</v>
      </c>
      <c r="G305" s="4">
        <v>283.02</v>
      </c>
      <c r="H305" s="2">
        <v>9</v>
      </c>
      <c r="I305" s="4">
        <v>56.67</v>
      </c>
      <c r="J305" s="5">
        <v>0</v>
      </c>
    </row>
    <row r="306" spans="1:10" x14ac:dyDescent="0.25">
      <c r="A306" s="2" t="s">
        <v>545</v>
      </c>
      <c r="B306" s="3">
        <v>45274</v>
      </c>
      <c r="C306" s="2" t="s">
        <v>546</v>
      </c>
      <c r="D306" s="2" t="s">
        <v>12</v>
      </c>
      <c r="E306" s="2" t="s">
        <v>27</v>
      </c>
      <c r="F306" s="2" t="s">
        <v>43</v>
      </c>
      <c r="G306" s="4">
        <v>1154.68</v>
      </c>
      <c r="H306" s="2">
        <v>3</v>
      </c>
      <c r="I306" s="4">
        <v>-138.05000000000001</v>
      </c>
      <c r="J306" s="5">
        <v>0.3</v>
      </c>
    </row>
    <row r="307" spans="1:10" x14ac:dyDescent="0.25">
      <c r="A307" s="2" t="s">
        <v>547</v>
      </c>
      <c r="B307" s="3">
        <v>45276</v>
      </c>
      <c r="C307" s="2" t="s">
        <v>548</v>
      </c>
      <c r="D307" s="2" t="s">
        <v>12</v>
      </c>
      <c r="E307" s="2" t="s">
        <v>13</v>
      </c>
      <c r="F307" s="2" t="s">
        <v>14</v>
      </c>
      <c r="G307" s="4">
        <v>106.2</v>
      </c>
      <c r="H307" s="2">
        <v>11</v>
      </c>
      <c r="I307" s="4">
        <v>11</v>
      </c>
      <c r="J307" s="5">
        <v>0</v>
      </c>
    </row>
    <row r="308" spans="1:10" x14ac:dyDescent="0.25">
      <c r="A308" s="2" t="s">
        <v>549</v>
      </c>
      <c r="B308" s="3">
        <v>45278</v>
      </c>
      <c r="C308" s="2" t="s">
        <v>345</v>
      </c>
      <c r="D308" s="2" t="s">
        <v>12</v>
      </c>
      <c r="E308" s="2" t="s">
        <v>27</v>
      </c>
      <c r="F308" s="2" t="s">
        <v>43</v>
      </c>
      <c r="G308" s="4">
        <v>473.77</v>
      </c>
      <c r="H308" s="2">
        <v>2</v>
      </c>
      <c r="I308" s="4">
        <v>69.47</v>
      </c>
      <c r="J308" s="5">
        <v>0</v>
      </c>
    </row>
    <row r="309" spans="1:10" x14ac:dyDescent="0.25">
      <c r="A309" s="2" t="s">
        <v>550</v>
      </c>
      <c r="B309" s="3">
        <v>45278</v>
      </c>
      <c r="C309" s="2" t="s">
        <v>143</v>
      </c>
      <c r="D309" s="2" t="s">
        <v>38</v>
      </c>
      <c r="E309" s="2" t="s">
        <v>23</v>
      </c>
      <c r="F309" s="2" t="s">
        <v>35</v>
      </c>
      <c r="G309" s="4">
        <v>308.87</v>
      </c>
      <c r="H309" s="2">
        <v>8</v>
      </c>
      <c r="I309" s="4">
        <v>70.069999999999993</v>
      </c>
      <c r="J309" s="5">
        <v>0</v>
      </c>
    </row>
    <row r="310" spans="1:10" x14ac:dyDescent="0.25">
      <c r="A310" s="2" t="s">
        <v>551</v>
      </c>
      <c r="B310" s="3">
        <v>45280</v>
      </c>
      <c r="C310" s="2" t="s">
        <v>552</v>
      </c>
      <c r="D310" s="2" t="s">
        <v>42</v>
      </c>
      <c r="E310" s="2" t="s">
        <v>23</v>
      </c>
      <c r="F310" s="2" t="s">
        <v>39</v>
      </c>
      <c r="G310" s="4">
        <v>455.67</v>
      </c>
      <c r="H310" s="2">
        <v>3</v>
      </c>
      <c r="I310" s="4">
        <v>81.540000000000006</v>
      </c>
      <c r="J310" s="5">
        <v>0</v>
      </c>
    </row>
    <row r="311" spans="1:10" x14ac:dyDescent="0.25">
      <c r="A311" s="2" t="s">
        <v>553</v>
      </c>
      <c r="B311" s="3">
        <v>45281</v>
      </c>
      <c r="C311" s="2" t="s">
        <v>554</v>
      </c>
      <c r="D311" s="2" t="s">
        <v>17</v>
      </c>
      <c r="E311" s="2" t="s">
        <v>27</v>
      </c>
      <c r="F311" s="2" t="s">
        <v>43</v>
      </c>
      <c r="G311" s="4">
        <v>711.94</v>
      </c>
      <c r="H311" s="2">
        <v>4</v>
      </c>
      <c r="I311" s="4">
        <v>62.4</v>
      </c>
      <c r="J311" s="5">
        <v>0.15</v>
      </c>
    </row>
    <row r="312" spans="1:10" x14ac:dyDescent="0.25">
      <c r="A312" s="2" t="s">
        <v>555</v>
      </c>
      <c r="B312" s="3">
        <v>45285</v>
      </c>
      <c r="C312" s="2" t="s">
        <v>556</v>
      </c>
      <c r="D312" s="2" t="s">
        <v>38</v>
      </c>
      <c r="E312" s="2" t="s">
        <v>27</v>
      </c>
      <c r="F312" s="2" t="s">
        <v>43</v>
      </c>
      <c r="G312" s="4">
        <v>1360.24</v>
      </c>
      <c r="H312" s="2">
        <v>6</v>
      </c>
      <c r="I312" s="4">
        <v>328.04</v>
      </c>
      <c r="J312" s="5">
        <v>0</v>
      </c>
    </row>
    <row r="313" spans="1:10" x14ac:dyDescent="0.25">
      <c r="A313" s="2" t="s">
        <v>557</v>
      </c>
      <c r="B313" s="3">
        <v>45286</v>
      </c>
      <c r="C313" s="2" t="s">
        <v>30</v>
      </c>
      <c r="D313" s="2" t="s">
        <v>42</v>
      </c>
      <c r="E313" s="2" t="s">
        <v>23</v>
      </c>
      <c r="F313" s="2" t="s">
        <v>71</v>
      </c>
      <c r="G313" s="4">
        <v>288.14999999999998</v>
      </c>
      <c r="H313" s="2">
        <v>5</v>
      </c>
      <c r="I313" s="4">
        <v>63.36</v>
      </c>
      <c r="J313" s="5">
        <v>0</v>
      </c>
    </row>
    <row r="314" spans="1:10" x14ac:dyDescent="0.25">
      <c r="A314" s="2" t="s">
        <v>558</v>
      </c>
      <c r="B314" s="3">
        <v>45287</v>
      </c>
      <c r="C314" s="2" t="s">
        <v>559</v>
      </c>
      <c r="D314" s="2" t="s">
        <v>17</v>
      </c>
      <c r="E314" s="2" t="s">
        <v>23</v>
      </c>
      <c r="F314" s="2" t="s">
        <v>71</v>
      </c>
      <c r="G314" s="4">
        <v>580.73</v>
      </c>
      <c r="H314" s="2">
        <v>12</v>
      </c>
      <c r="I314" s="4">
        <v>157.38</v>
      </c>
      <c r="J314" s="5">
        <v>0.05</v>
      </c>
    </row>
    <row r="315" spans="1:10" x14ac:dyDescent="0.25">
      <c r="A315" s="2" t="s">
        <v>560</v>
      </c>
      <c r="B315" s="3">
        <v>45287</v>
      </c>
      <c r="C315" s="2" t="s">
        <v>561</v>
      </c>
      <c r="D315" s="2" t="s">
        <v>42</v>
      </c>
      <c r="E315" s="2" t="s">
        <v>13</v>
      </c>
      <c r="F315" s="2" t="s">
        <v>51</v>
      </c>
      <c r="G315" s="4">
        <v>211.33</v>
      </c>
      <c r="H315" s="2">
        <v>8</v>
      </c>
      <c r="I315" s="4">
        <v>-14.78</v>
      </c>
      <c r="J315" s="5">
        <v>0.3</v>
      </c>
    </row>
    <row r="316" spans="1:10" x14ac:dyDescent="0.25">
      <c r="A316" s="2" t="s">
        <v>562</v>
      </c>
      <c r="B316" s="3">
        <v>45287</v>
      </c>
      <c r="C316" s="2" t="s">
        <v>522</v>
      </c>
      <c r="D316" s="2" t="s">
        <v>12</v>
      </c>
      <c r="E316" s="2" t="s">
        <v>27</v>
      </c>
      <c r="F316" s="2" t="s">
        <v>43</v>
      </c>
      <c r="G316" s="4">
        <v>670.69</v>
      </c>
      <c r="H316" s="2">
        <v>4</v>
      </c>
      <c r="I316" s="4">
        <v>170.59</v>
      </c>
      <c r="J316" s="5">
        <v>0</v>
      </c>
    </row>
    <row r="317" spans="1:10" x14ac:dyDescent="0.25">
      <c r="A317" s="2" t="s">
        <v>563</v>
      </c>
      <c r="B317" s="3">
        <v>45287</v>
      </c>
      <c r="C317" s="2" t="s">
        <v>452</v>
      </c>
      <c r="D317" s="2" t="s">
        <v>38</v>
      </c>
      <c r="E317" s="2" t="s">
        <v>23</v>
      </c>
      <c r="F317" s="2" t="s">
        <v>71</v>
      </c>
      <c r="G317" s="4">
        <v>92.37</v>
      </c>
      <c r="H317" s="2">
        <v>2</v>
      </c>
      <c r="I317" s="4">
        <v>16.239999999999998</v>
      </c>
      <c r="J317" s="5">
        <v>0.05</v>
      </c>
    </row>
    <row r="318" spans="1:10" x14ac:dyDescent="0.25">
      <c r="A318" s="2" t="s">
        <v>564</v>
      </c>
      <c r="B318" s="3">
        <v>45288</v>
      </c>
      <c r="C318" s="2" t="s">
        <v>565</v>
      </c>
      <c r="D318" s="2" t="s">
        <v>42</v>
      </c>
      <c r="E318" s="2" t="s">
        <v>27</v>
      </c>
      <c r="F318" s="2" t="s">
        <v>28</v>
      </c>
      <c r="G318" s="4">
        <v>1424.82</v>
      </c>
      <c r="H318" s="2">
        <v>7</v>
      </c>
      <c r="I318" s="4">
        <v>282.97000000000003</v>
      </c>
      <c r="J318" s="5">
        <v>0</v>
      </c>
    </row>
    <row r="319" spans="1:10" x14ac:dyDescent="0.25">
      <c r="A319" s="2" t="s">
        <v>566</v>
      </c>
      <c r="B319" s="3">
        <v>45289</v>
      </c>
      <c r="C319" s="2" t="s">
        <v>567</v>
      </c>
      <c r="D319" s="2" t="s">
        <v>38</v>
      </c>
      <c r="E319" s="2" t="s">
        <v>13</v>
      </c>
      <c r="F319" s="2" t="s">
        <v>54</v>
      </c>
      <c r="G319" s="4">
        <v>186.74</v>
      </c>
      <c r="H319" s="2">
        <v>8</v>
      </c>
      <c r="I319" s="4">
        <v>13.42</v>
      </c>
      <c r="J319" s="5">
        <v>0.15</v>
      </c>
    </row>
    <row r="320" spans="1:10" x14ac:dyDescent="0.25">
      <c r="A320" s="2" t="s">
        <v>568</v>
      </c>
      <c r="B320" s="3">
        <v>45291</v>
      </c>
      <c r="C320" s="2" t="s">
        <v>569</v>
      </c>
      <c r="D320" s="2" t="s">
        <v>17</v>
      </c>
      <c r="E320" s="2" t="s">
        <v>27</v>
      </c>
      <c r="F320" s="2" t="s">
        <v>28</v>
      </c>
      <c r="G320" s="4">
        <v>3171.36</v>
      </c>
      <c r="H320" s="2">
        <v>9</v>
      </c>
      <c r="I320" s="4">
        <v>395.77</v>
      </c>
      <c r="J320" s="5">
        <v>0.1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>
      <selection activeCell="D14" sqref="D14"/>
    </sheetView>
  </sheetViews>
  <sheetFormatPr defaultColWidth="8.7109375" defaultRowHeight="15" x14ac:dyDescent="0.25"/>
  <cols>
    <col min="1" max="1" width="24" customWidth="1"/>
    <col min="2" max="2" width="18" customWidth="1"/>
  </cols>
  <sheetData>
    <row r="1" spans="1:2" ht="18" x14ac:dyDescent="0.25">
      <c r="A1" s="17" t="s">
        <v>570</v>
      </c>
      <c r="B1" s="18"/>
    </row>
    <row r="3" spans="1:2" x14ac:dyDescent="0.25">
      <c r="A3" s="19" t="s">
        <v>571</v>
      </c>
      <c r="B3" s="19" t="s">
        <v>572</v>
      </c>
    </row>
    <row r="4" spans="1:2" x14ac:dyDescent="0.25">
      <c r="A4" s="6" t="s">
        <v>573</v>
      </c>
      <c r="B4" s="4">
        <f>SUM('Cleaned Data'!G2:G320)</f>
        <v>263274.37999999989</v>
      </c>
    </row>
    <row r="5" spans="1:2" x14ac:dyDescent="0.25">
      <c r="A5" s="6" t="s">
        <v>574</v>
      </c>
      <c r="B5" s="4">
        <f>SUM('Cleaned Data'!I2:I320)</f>
        <v>36093.51999999999</v>
      </c>
    </row>
    <row r="6" spans="1:2" x14ac:dyDescent="0.25">
      <c r="A6" s="6" t="s">
        <v>575</v>
      </c>
      <c r="B6" s="7">
        <f>COUNTA('Cleaned Data'!A2:A320)</f>
        <v>319</v>
      </c>
    </row>
    <row r="7" spans="1:2" x14ac:dyDescent="0.25">
      <c r="A7" s="6" t="s">
        <v>576</v>
      </c>
      <c r="B7" s="4">
        <f>AVERAGE('Cleaned Data'!G2:G320)</f>
        <v>825.31153605015641</v>
      </c>
    </row>
    <row r="8" spans="1:2" x14ac:dyDescent="0.25">
      <c r="A8" s="6" t="s">
        <v>577</v>
      </c>
      <c r="B8" s="7">
        <f>SUM('Cleaned Data'!H2:H320)</f>
        <v>2060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Normal="100" workbookViewId="0">
      <selection activeCell="E13" sqref="E13"/>
    </sheetView>
  </sheetViews>
  <sheetFormatPr defaultColWidth="8.7109375" defaultRowHeight="15" x14ac:dyDescent="0.25"/>
  <cols>
    <col min="1" max="1" width="14" customWidth="1"/>
    <col min="2" max="3" width="16" customWidth="1"/>
    <col min="4" max="4" width="14" customWidth="1"/>
  </cols>
  <sheetData>
    <row r="1" spans="1:4" ht="18" x14ac:dyDescent="0.25">
      <c r="A1" s="17" t="s">
        <v>578</v>
      </c>
      <c r="B1" s="18"/>
      <c r="C1" s="18"/>
    </row>
    <row r="3" spans="1:4" x14ac:dyDescent="0.25">
      <c r="A3" s="19" t="s">
        <v>3</v>
      </c>
      <c r="B3" s="19" t="s">
        <v>573</v>
      </c>
      <c r="C3" s="19" t="s">
        <v>574</v>
      </c>
      <c r="D3" s="19" t="s">
        <v>575</v>
      </c>
    </row>
    <row r="4" spans="1:4" x14ac:dyDescent="0.25">
      <c r="A4" s="2" t="s">
        <v>42</v>
      </c>
      <c r="B4" s="8">
        <f>SUMIF('Cleaned Data'!$D$2:$D$320,A4,'Cleaned Data'!$G$2:$G$320)</f>
        <v>69243.209999999992</v>
      </c>
      <c r="C4" s="8">
        <f>SUMIF('Cleaned Data'!$D$2:$D$320,A4,'Cleaned Data'!$I$2:$I$320)</f>
        <v>9716.3900000000031</v>
      </c>
      <c r="D4" s="9">
        <f>COUNTIF('Cleaned Data'!$D$2:$D$320,A4)</f>
        <v>89</v>
      </c>
    </row>
    <row r="5" spans="1:4" x14ac:dyDescent="0.25">
      <c r="A5" s="2" t="s">
        <v>38</v>
      </c>
      <c r="B5" s="8">
        <f>SUMIF('Cleaned Data'!$D$2:$D$320,A5,'Cleaned Data'!$G$2:$G$320)</f>
        <v>68967.199999999997</v>
      </c>
      <c r="C5" s="8">
        <f>SUMIF('Cleaned Data'!$D$2:$D$320,A5,'Cleaned Data'!$I$2:$I$320)</f>
        <v>9450.0000000000018</v>
      </c>
      <c r="D5" s="9">
        <f>COUNTIF('Cleaned Data'!$D$2:$D$320,A5)</f>
        <v>75</v>
      </c>
    </row>
    <row r="6" spans="1:4" x14ac:dyDescent="0.25">
      <c r="A6" s="2" t="s">
        <v>17</v>
      </c>
      <c r="B6" s="8">
        <f>SUMIF('Cleaned Data'!$D$2:$D$320,A6,'Cleaned Data'!$G$2:$G$320)</f>
        <v>69914.24000000002</v>
      </c>
      <c r="C6" s="8">
        <f>SUMIF('Cleaned Data'!$D$2:$D$320,A6,'Cleaned Data'!$I$2:$I$320)</f>
        <v>8560.9199999999983</v>
      </c>
      <c r="D6" s="9">
        <f>COUNTIF('Cleaned Data'!$D$2:$D$320,A6)</f>
        <v>77</v>
      </c>
    </row>
    <row r="7" spans="1:4" x14ac:dyDescent="0.25">
      <c r="A7" s="2" t="s">
        <v>12</v>
      </c>
      <c r="B7" s="8">
        <f>SUMIF('Cleaned Data'!$D$2:$D$320,A7,'Cleaned Data'!$G$2:$G$320)</f>
        <v>55149.729999999996</v>
      </c>
      <c r="C7" s="8">
        <f>SUMIF('Cleaned Data'!$D$2:$D$320,A7,'Cleaned Data'!$I$2:$I$320)</f>
        <v>8366.2099999999991</v>
      </c>
      <c r="D7" s="9">
        <f>COUNTIF('Cleaned Data'!$D$2:$D$320,A7)</f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Normal="100" workbookViewId="0">
      <selection activeCell="E15" sqref="E15"/>
    </sheetView>
  </sheetViews>
  <sheetFormatPr defaultColWidth="8.7109375" defaultRowHeight="15" x14ac:dyDescent="0.25"/>
  <cols>
    <col min="1" max="1" width="18" customWidth="1"/>
    <col min="2" max="4" width="16" customWidth="1"/>
  </cols>
  <sheetData>
    <row r="1" spans="1:4" ht="18" x14ac:dyDescent="0.25">
      <c r="A1" s="17" t="s">
        <v>579</v>
      </c>
      <c r="B1" s="18"/>
      <c r="C1" s="18"/>
    </row>
    <row r="3" spans="1:4" x14ac:dyDescent="0.25">
      <c r="A3" s="19" t="s">
        <v>4</v>
      </c>
      <c r="B3" s="19" t="s">
        <v>574</v>
      </c>
      <c r="C3" s="19" t="s">
        <v>573</v>
      </c>
      <c r="D3" s="19" t="s">
        <v>580</v>
      </c>
    </row>
    <row r="4" spans="1:4" x14ac:dyDescent="0.25">
      <c r="A4" s="2" t="s">
        <v>27</v>
      </c>
      <c r="B4" s="8">
        <f>SUMIF('Cleaned Data'!$E$2:$E$320,A4,'Cleaned Data'!$I$2:$I$320)</f>
        <v>21877.130000000012</v>
      </c>
      <c r="C4" s="8">
        <f>SUMIF('Cleaned Data'!$E$2:$E$320,A4,'Cleaned Data'!$G$2:$G$320)</f>
        <v>160269.78999999998</v>
      </c>
      <c r="D4" s="10">
        <f>B4/C4</f>
        <v>0.13650189471141139</v>
      </c>
    </row>
    <row r="5" spans="1:4" x14ac:dyDescent="0.25">
      <c r="A5" s="2" t="s">
        <v>13</v>
      </c>
      <c r="B5" s="8">
        <f>SUMIF('Cleaned Data'!$E$2:$E$320,A5,'Cleaned Data'!$I$2:$I$320)</f>
        <v>2073.2399999999993</v>
      </c>
      <c r="C5" s="8">
        <f>SUMIF('Cleaned Data'!$E$2:$E$320,A5,'Cleaned Data'!$G$2:$G$320)</f>
        <v>16433.5</v>
      </c>
      <c r="D5" s="10">
        <f>B5/C5</f>
        <v>0.12615936958043017</v>
      </c>
    </row>
    <row r="6" spans="1:4" x14ac:dyDescent="0.25">
      <c r="A6" s="2" t="s">
        <v>23</v>
      </c>
      <c r="B6" s="8">
        <f>SUMIF('Cleaned Data'!$E$2:$E$320,A6,'Cleaned Data'!$I$2:$I$320)</f>
        <v>12143.15</v>
      </c>
      <c r="C6" s="8">
        <f>SUMIF('Cleaned Data'!$E$2:$E$320,A6,'Cleaned Data'!$G$2:$G$320)</f>
        <v>86571.089999999967</v>
      </c>
      <c r="D6" s="10">
        <f>B6/C6</f>
        <v>0.14026795781363044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Normal="100" workbookViewId="0">
      <selection activeCell="F10" sqref="F10"/>
    </sheetView>
  </sheetViews>
  <sheetFormatPr defaultColWidth="8.7109375" defaultRowHeight="15" x14ac:dyDescent="0.25"/>
  <cols>
    <col min="1" max="1" width="10" customWidth="1"/>
    <col min="2" max="3" width="16" customWidth="1"/>
    <col min="4" max="4" width="14" customWidth="1"/>
  </cols>
  <sheetData>
    <row r="1" spans="1:4" ht="18" x14ac:dyDescent="0.25">
      <c r="A1" s="17" t="s">
        <v>581</v>
      </c>
      <c r="B1" s="18"/>
      <c r="C1" s="18"/>
      <c r="D1" s="18"/>
    </row>
    <row r="3" spans="1:4" x14ac:dyDescent="0.25">
      <c r="A3" s="19" t="s">
        <v>582</v>
      </c>
      <c r="B3" s="19" t="s">
        <v>573</v>
      </c>
      <c r="C3" s="19" t="s">
        <v>574</v>
      </c>
      <c r="D3" s="19" t="s">
        <v>575</v>
      </c>
    </row>
    <row r="4" spans="1:4" x14ac:dyDescent="0.25">
      <c r="A4" s="2" t="s">
        <v>583</v>
      </c>
      <c r="B4" s="8">
        <f>SUMPRODUCT((MONTH('Cleaned Data'!$B$2:$B$320)=1)*'Cleaned Data'!$G$2:$G$320)</f>
        <v>14544.19</v>
      </c>
      <c r="C4" s="8">
        <f>SUMPRODUCT((MONTH('Cleaned Data'!$B$2:$B$320)=1)*'Cleaned Data'!$I$2:$I$320)</f>
        <v>1792.6799999999998</v>
      </c>
      <c r="D4" s="9">
        <f>SUMPRODUCT((MONTH('Cleaned Data'!$B$2:$B$320)=1)*1)</f>
        <v>25</v>
      </c>
    </row>
    <row r="5" spans="1:4" x14ac:dyDescent="0.25">
      <c r="A5" s="2" t="s">
        <v>584</v>
      </c>
      <c r="B5" s="8">
        <f>SUMPRODUCT((MONTH('Cleaned Data'!$B$2:$B$320)=2)*'Cleaned Data'!$G$2:$G$320)</f>
        <v>22738.799999999996</v>
      </c>
      <c r="C5" s="8">
        <f>SUMPRODUCT((MONTH('Cleaned Data'!$B$2:$B$320)=2)*'Cleaned Data'!$I$2:$I$320)</f>
        <v>3592.85</v>
      </c>
      <c r="D5" s="9">
        <f>SUMPRODUCT((MONTH('Cleaned Data'!$B$2:$B$320)=2)*1)</f>
        <v>22</v>
      </c>
    </row>
    <row r="6" spans="1:4" x14ac:dyDescent="0.25">
      <c r="A6" s="2" t="s">
        <v>585</v>
      </c>
      <c r="B6" s="8">
        <f>SUMPRODUCT((MONTH('Cleaned Data'!$B$2:$B$320)=3)*'Cleaned Data'!$G$2:$G$320)</f>
        <v>25020.49</v>
      </c>
      <c r="C6" s="8">
        <f>SUMPRODUCT((MONTH('Cleaned Data'!$B$2:$B$320)=3)*'Cleaned Data'!$I$2:$I$320)</f>
        <v>3201.8399999999997</v>
      </c>
      <c r="D6" s="9">
        <f>SUMPRODUCT((MONTH('Cleaned Data'!$B$2:$B$320)=3)*1)</f>
        <v>28</v>
      </c>
    </row>
    <row r="7" spans="1:4" x14ac:dyDescent="0.25">
      <c r="A7" s="2" t="s">
        <v>586</v>
      </c>
      <c r="B7" s="8">
        <f>SUMPRODUCT((MONTH('Cleaned Data'!$B$2:$B$320)=4)*'Cleaned Data'!$G$2:$G$320)</f>
        <v>32012.1</v>
      </c>
      <c r="C7" s="8">
        <f>SUMPRODUCT((MONTH('Cleaned Data'!$B$2:$B$320)=4)*'Cleaned Data'!$I$2:$I$320)</f>
        <v>4182.01</v>
      </c>
      <c r="D7" s="9">
        <f>SUMPRODUCT((MONTH('Cleaned Data'!$B$2:$B$320)=4)*1)</f>
        <v>35</v>
      </c>
    </row>
    <row r="8" spans="1:4" x14ac:dyDescent="0.25">
      <c r="A8" s="2" t="s">
        <v>587</v>
      </c>
      <c r="B8" s="8">
        <f>SUMPRODUCT((MONTH('Cleaned Data'!$B$2:$B$320)=5)*'Cleaned Data'!$G$2:$G$320)</f>
        <v>21080.570000000003</v>
      </c>
      <c r="C8" s="8">
        <f>SUMPRODUCT((MONTH('Cleaned Data'!$B$2:$B$320)=5)*'Cleaned Data'!$I$2:$I$320)</f>
        <v>3864.11</v>
      </c>
      <c r="D8" s="9">
        <f>SUMPRODUCT((MONTH('Cleaned Data'!$B$2:$B$320)=5)*1)</f>
        <v>34</v>
      </c>
    </row>
    <row r="9" spans="1:4" x14ac:dyDescent="0.25">
      <c r="A9" s="2" t="s">
        <v>588</v>
      </c>
      <c r="B9" s="8">
        <f>SUMPRODUCT((MONTH('Cleaned Data'!$B$2:$B$320)=6)*'Cleaned Data'!$G$2:$G$320)</f>
        <v>15999.270000000002</v>
      </c>
      <c r="C9" s="8">
        <f>SUMPRODUCT((MONTH('Cleaned Data'!$B$2:$B$320)=6)*'Cleaned Data'!$I$2:$I$320)</f>
        <v>2128.92</v>
      </c>
      <c r="D9" s="9">
        <f>SUMPRODUCT((MONTH('Cleaned Data'!$B$2:$B$320)=6)*1)</f>
        <v>24</v>
      </c>
    </row>
    <row r="10" spans="1:4" x14ac:dyDescent="0.25">
      <c r="A10" s="2" t="s">
        <v>589</v>
      </c>
      <c r="B10" s="8">
        <f>SUMPRODUCT((MONTH('Cleaned Data'!$B$2:$B$320)=7)*'Cleaned Data'!$G$2:$G$320)</f>
        <v>22253.83</v>
      </c>
      <c r="C10" s="8">
        <f>SUMPRODUCT((MONTH('Cleaned Data'!$B$2:$B$320)=7)*'Cleaned Data'!$I$2:$I$320)</f>
        <v>4746.4599999999991</v>
      </c>
      <c r="D10" s="9">
        <f>SUMPRODUCT((MONTH('Cleaned Data'!$B$2:$B$320)=7)*1)</f>
        <v>21</v>
      </c>
    </row>
    <row r="11" spans="1:4" x14ac:dyDescent="0.25">
      <c r="A11" s="2" t="s">
        <v>590</v>
      </c>
      <c r="B11" s="8">
        <f>SUMPRODUCT((MONTH('Cleaned Data'!$B$2:$B$320)=8)*'Cleaned Data'!$G$2:$G$320)</f>
        <v>23114.09</v>
      </c>
      <c r="C11" s="8">
        <f>SUMPRODUCT((MONTH('Cleaned Data'!$B$2:$B$320)=8)*'Cleaned Data'!$I$2:$I$320)</f>
        <v>2513.6499999999996</v>
      </c>
      <c r="D11" s="9">
        <f>SUMPRODUCT((MONTH('Cleaned Data'!$B$2:$B$320)=8)*1)</f>
        <v>29</v>
      </c>
    </row>
    <row r="12" spans="1:4" x14ac:dyDescent="0.25">
      <c r="A12" s="2" t="s">
        <v>591</v>
      </c>
      <c r="B12" s="8">
        <f>SUMPRODUCT((MONTH('Cleaned Data'!$B$2:$B$320)=9)*'Cleaned Data'!$G$2:$G$320)</f>
        <v>20246.47</v>
      </c>
      <c r="C12" s="8">
        <f>SUMPRODUCT((MONTH('Cleaned Data'!$B$2:$B$320)=9)*'Cleaned Data'!$I$2:$I$320)</f>
        <v>3024.7599999999993</v>
      </c>
      <c r="D12" s="9">
        <f>SUMPRODUCT((MONTH('Cleaned Data'!$B$2:$B$320)=9)*1)</f>
        <v>22</v>
      </c>
    </row>
    <row r="13" spans="1:4" x14ac:dyDescent="0.25">
      <c r="A13" s="2" t="s">
        <v>592</v>
      </c>
      <c r="B13" s="8">
        <f>SUMPRODUCT((MONTH('Cleaned Data'!$B$2:$B$320)=10)*'Cleaned Data'!$G$2:$G$320)</f>
        <v>18979.399999999994</v>
      </c>
      <c r="C13" s="8">
        <f>SUMPRODUCT((MONTH('Cleaned Data'!$B$2:$B$320)=10)*'Cleaned Data'!$I$2:$I$320)</f>
        <v>1502.85</v>
      </c>
      <c r="D13" s="9">
        <f>SUMPRODUCT((MONTH('Cleaned Data'!$B$2:$B$320)=10)*1)</f>
        <v>24</v>
      </c>
    </row>
    <row r="14" spans="1:4" x14ac:dyDescent="0.25">
      <c r="A14" s="2" t="s">
        <v>593</v>
      </c>
      <c r="B14" s="8">
        <f>SUMPRODUCT((MONTH('Cleaned Data'!$B$2:$B$320)=11)*'Cleaned Data'!$G$2:$G$320)</f>
        <v>24123.72</v>
      </c>
      <c r="C14" s="8">
        <f>SUMPRODUCT((MONTH('Cleaned Data'!$B$2:$B$320)=11)*'Cleaned Data'!$I$2:$I$320)</f>
        <v>3397.08</v>
      </c>
      <c r="D14" s="9">
        <f>SUMPRODUCT((MONTH('Cleaned Data'!$B$2:$B$320)=11)*1)</f>
        <v>26</v>
      </c>
    </row>
    <row r="15" spans="1:4" x14ac:dyDescent="0.25">
      <c r="A15" s="2" t="s">
        <v>594</v>
      </c>
      <c r="B15" s="8">
        <f>SUMPRODUCT((MONTH('Cleaned Data'!$B$2:$B$320)=12)*'Cleaned Data'!$G$2:$G$320)</f>
        <v>23161.450000000008</v>
      </c>
      <c r="C15" s="8">
        <f>SUMPRODUCT((MONTH('Cleaned Data'!$B$2:$B$320)=12)*'Cleaned Data'!$I$2:$I$320)</f>
        <v>2146.31</v>
      </c>
      <c r="D15" s="9">
        <f>SUMPRODUCT((MONTH('Cleaned Data'!$B$2:$B$320)=12)*1)</f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"/>
  <sheetViews>
    <sheetView zoomScaleNormal="100" workbookViewId="0">
      <selection activeCell="E4" sqref="E4:G4"/>
    </sheetView>
  </sheetViews>
  <sheetFormatPr defaultColWidth="8.7109375" defaultRowHeight="15" x14ac:dyDescent="0.25"/>
  <cols>
    <col min="1" max="2" width="22" customWidth="1"/>
    <col min="3" max="3" width="16" customWidth="1"/>
    <col min="5" max="5" width="16.85546875" customWidth="1"/>
    <col min="6" max="6" width="17.42578125" bestFit="1" customWidth="1"/>
    <col min="7" max="7" width="12.28515625" bestFit="1" customWidth="1"/>
  </cols>
  <sheetData>
    <row r="1" spans="1:7" ht="18" x14ac:dyDescent="0.25">
      <c r="A1" s="17" t="s">
        <v>595</v>
      </c>
      <c r="B1" s="18"/>
    </row>
    <row r="3" spans="1:7" x14ac:dyDescent="0.25">
      <c r="A3" s="19" t="s">
        <v>2</v>
      </c>
      <c r="B3" s="19" t="s">
        <v>573</v>
      </c>
      <c r="C3" s="19" t="s">
        <v>596</v>
      </c>
      <c r="E3" s="14" t="s">
        <v>597</v>
      </c>
    </row>
    <row r="4" spans="1:7" x14ac:dyDescent="0.25">
      <c r="A4" s="11" t="s">
        <v>282</v>
      </c>
      <c r="B4" s="12">
        <f>SUMIF('Cleaned Data'!$C$2:$C$320,A4,'Cleaned Data'!$G$2:$G$320)</f>
        <v>1865.51</v>
      </c>
      <c r="C4" s="13">
        <f t="shared" ref="C4:C67" si="0">B4+ROW()/10000000</f>
        <v>1865.5100004000001</v>
      </c>
      <c r="E4" s="19" t="s">
        <v>598</v>
      </c>
      <c r="F4" s="19" t="s">
        <v>2</v>
      </c>
      <c r="G4" s="19" t="s">
        <v>573</v>
      </c>
    </row>
    <row r="5" spans="1:7" x14ac:dyDescent="0.25">
      <c r="A5" s="11" t="s">
        <v>58</v>
      </c>
      <c r="B5" s="12">
        <f>SUMIF('Cleaned Data'!$C$2:$C$320,A5,'Cleaned Data'!$G$2:$G$320)</f>
        <v>456.45</v>
      </c>
      <c r="C5" s="13">
        <f t="shared" si="0"/>
        <v>456.45000049999999</v>
      </c>
      <c r="E5" s="2">
        <v>1</v>
      </c>
      <c r="F5" s="2" t="str">
        <f>INDEX($A$4:$A$227,MATCH(LARGE($C$4:$C$227,1),$C$4:$C$227,0))</f>
        <v>Neha Singh</v>
      </c>
      <c r="G5" s="8">
        <f>INDEX($B$4:$B$227,MATCH(LARGE($C$4:$C$227,1),$C$4:$C$227,0))</f>
        <v>7080.0399999999991</v>
      </c>
    </row>
    <row r="6" spans="1:7" x14ac:dyDescent="0.25">
      <c r="A6" s="11" t="s">
        <v>285</v>
      </c>
      <c r="B6" s="12">
        <f>SUMIF('Cleaned Data'!$C$2:$C$320,A6,'Cleaned Data'!$G$2:$G$320)</f>
        <v>83.44</v>
      </c>
      <c r="C6" s="13">
        <f t="shared" si="0"/>
        <v>83.440000600000005</v>
      </c>
      <c r="E6" s="2">
        <v>2</v>
      </c>
      <c r="F6" s="2" t="str">
        <f>INDEX($A$4:$A$227,MATCH(LARGE($C$4:$C$227,2),$C$4:$C$227,0))</f>
        <v>Gaurav Rao</v>
      </c>
      <c r="G6" s="8">
        <f>INDEX($B$4:$B$227,MATCH(LARGE($C$4:$C$227,2),$C$4:$C$227,0))</f>
        <v>6388.51</v>
      </c>
    </row>
    <row r="7" spans="1:7" x14ac:dyDescent="0.25">
      <c r="A7" s="11" t="s">
        <v>320</v>
      </c>
      <c r="B7" s="12">
        <f>SUMIF('Cleaned Data'!$C$2:$C$320,A7,'Cleaned Data'!$G$2:$G$320)</f>
        <v>1512.3500000000001</v>
      </c>
      <c r="C7" s="13">
        <f t="shared" si="0"/>
        <v>1512.3500007000002</v>
      </c>
      <c r="E7" s="2">
        <v>3</v>
      </c>
      <c r="F7" s="2" t="str">
        <f>INDEX($A$4:$A$227,MATCH(LARGE($C$4:$C$227,3),$C$4:$C$227,0))</f>
        <v>Vikram Mehta</v>
      </c>
      <c r="G7" s="8">
        <f>INDEX($B$4:$B$227,MATCH(LARGE($C$4:$C$227,3),$C$4:$C$227,0))</f>
        <v>6367.5300000000007</v>
      </c>
    </row>
    <row r="8" spans="1:7" x14ac:dyDescent="0.25">
      <c r="A8" s="11" t="s">
        <v>422</v>
      </c>
      <c r="B8" s="12">
        <f>SUMIF('Cleaned Data'!$C$2:$C$320,A8,'Cleaned Data'!$G$2:$G$320)</f>
        <v>222.2</v>
      </c>
      <c r="C8" s="13">
        <f t="shared" si="0"/>
        <v>222.2000008</v>
      </c>
      <c r="E8" s="2">
        <v>4</v>
      </c>
      <c r="F8" s="2" t="str">
        <f>INDEX($A$4:$A$227,MATCH(LARGE($C$4:$C$227,4),$C$4:$C$227,0))</f>
        <v>Preeti Rao</v>
      </c>
      <c r="G8" s="8">
        <f>INDEX($B$4:$B$227,MATCH(LARGE($C$4:$C$227,4),$C$4:$C$227,0))</f>
        <v>5264.59</v>
      </c>
    </row>
    <row r="9" spans="1:7" x14ac:dyDescent="0.25">
      <c r="A9" s="11" t="s">
        <v>567</v>
      </c>
      <c r="B9" s="12">
        <f>SUMIF('Cleaned Data'!$C$2:$C$320,A9,'Cleaned Data'!$G$2:$G$320)</f>
        <v>186.74</v>
      </c>
      <c r="C9" s="13">
        <f t="shared" si="0"/>
        <v>186.74000090000001</v>
      </c>
      <c r="E9" s="2">
        <v>5</v>
      </c>
      <c r="F9" s="2" t="str">
        <f>INDEX($A$4:$A$227,MATCH(LARGE($C$4:$C$227,5),$C$4:$C$227,0))</f>
        <v>Rohan Nair</v>
      </c>
      <c r="G9" s="8">
        <f>INDEX($B$4:$B$227,MATCH(LARGE($C$4:$C$227,5),$C$4:$C$227,0))</f>
        <v>4271.68</v>
      </c>
    </row>
    <row r="10" spans="1:7" x14ac:dyDescent="0.25">
      <c r="A10" s="11" t="s">
        <v>73</v>
      </c>
      <c r="B10" s="12">
        <f>SUMIF('Cleaned Data'!$C$2:$C$320,A10,'Cleaned Data'!$G$2:$G$320)</f>
        <v>2120.27</v>
      </c>
      <c r="C10" s="13">
        <f t="shared" si="0"/>
        <v>2120.2700009999999</v>
      </c>
      <c r="E10" s="2">
        <v>6</v>
      </c>
      <c r="F10" s="2" t="str">
        <f>INDEX($A$4:$A$227,MATCH(LARGE($C$4:$C$227,6),$C$4:$C$227,0))</f>
        <v>Nisha Iyer</v>
      </c>
      <c r="G10" s="8">
        <f>INDEX($B$4:$B$227,MATCH(LARGE($C$4:$C$227,6),$C$4:$C$227,0))</f>
        <v>4171.3100000000004</v>
      </c>
    </row>
    <row r="11" spans="1:7" x14ac:dyDescent="0.25">
      <c r="A11" s="11" t="s">
        <v>342</v>
      </c>
      <c r="B11" s="12">
        <f>SUMIF('Cleaned Data'!$C$2:$C$320,A11,'Cleaned Data'!$G$2:$G$320)</f>
        <v>176.24</v>
      </c>
      <c r="C11" s="13">
        <f t="shared" si="0"/>
        <v>176.2400011</v>
      </c>
      <c r="E11" s="2">
        <v>7</v>
      </c>
      <c r="F11" s="2" t="str">
        <f>INDEX($A$4:$A$227,MATCH(LARGE($C$4:$C$227,7),$C$4:$C$227,0))</f>
        <v>Ananya Patel</v>
      </c>
      <c r="G11" s="8">
        <f>INDEX($B$4:$B$227,MATCH(LARGE($C$4:$C$227,7),$C$4:$C$227,0))</f>
        <v>3773.33</v>
      </c>
    </row>
    <row r="12" spans="1:7" x14ac:dyDescent="0.25">
      <c r="A12" s="11" t="s">
        <v>65</v>
      </c>
      <c r="B12" s="12">
        <f>SUMIF('Cleaned Data'!$C$2:$C$320,A12,'Cleaned Data'!$G$2:$G$320)</f>
        <v>3299.09</v>
      </c>
      <c r="C12" s="13">
        <f t="shared" si="0"/>
        <v>3299.0900012000002</v>
      </c>
      <c r="E12" s="2">
        <v>8</v>
      </c>
      <c r="F12" s="2" t="str">
        <f>INDEX($A$4:$A$227,MATCH(LARGE($C$4:$C$227,8),$C$4:$C$227,0))</f>
        <v>Vihaan Reddy</v>
      </c>
      <c r="G12" s="8">
        <f>INDEX($B$4:$B$227,MATCH(LARGE($C$4:$C$227,8),$C$4:$C$227,0))</f>
        <v>3714.2200000000003</v>
      </c>
    </row>
    <row r="13" spans="1:7" x14ac:dyDescent="0.25">
      <c r="A13" s="11" t="s">
        <v>504</v>
      </c>
      <c r="B13" s="12">
        <f>SUMIF('Cleaned Data'!$C$2:$C$320,A13,'Cleaned Data'!$G$2:$G$320)</f>
        <v>300.24</v>
      </c>
      <c r="C13" s="13">
        <f t="shared" si="0"/>
        <v>300.24000130000002</v>
      </c>
      <c r="E13" s="2">
        <v>9</v>
      </c>
      <c r="F13" s="2" t="str">
        <f>INDEX($A$4:$A$227,MATCH(LARGE($C$4:$C$227,9),$C$4:$C$227,0))</f>
        <v>Ritu Mehta</v>
      </c>
      <c r="G13" s="8">
        <f>INDEX($B$4:$B$227,MATCH(LARGE($C$4:$C$227,9),$C$4:$C$227,0))</f>
        <v>3676.52</v>
      </c>
    </row>
    <row r="14" spans="1:7" x14ac:dyDescent="0.25">
      <c r="A14" s="11" t="s">
        <v>468</v>
      </c>
      <c r="B14" s="12">
        <f>SUMIF('Cleaned Data'!$C$2:$C$320,A14,'Cleaned Data'!$G$2:$G$320)</f>
        <v>273.63</v>
      </c>
      <c r="C14" s="13">
        <f t="shared" si="0"/>
        <v>273.63000139999997</v>
      </c>
      <c r="E14" s="2">
        <v>10</v>
      </c>
      <c r="F14" s="2" t="str">
        <f>INDEX($A$4:$A$227,MATCH(LARGE($C$4:$C$227,10),$C$4:$C$227,0))</f>
        <v>Tanvi Gupta</v>
      </c>
      <c r="G14" s="8">
        <f>INDEX($B$4:$B$227,MATCH(LARGE($C$4:$C$227,10),$C$4:$C$227,0))</f>
        <v>3563.51</v>
      </c>
    </row>
    <row r="15" spans="1:7" x14ac:dyDescent="0.25">
      <c r="A15" s="11" t="s">
        <v>235</v>
      </c>
      <c r="B15" s="12">
        <f>SUMIF('Cleaned Data'!$C$2:$C$320,A15,'Cleaned Data'!$G$2:$G$320)</f>
        <v>105.46</v>
      </c>
      <c r="C15" s="13">
        <f t="shared" si="0"/>
        <v>105.46000149999999</v>
      </c>
    </row>
    <row r="16" spans="1:7" x14ac:dyDescent="0.25">
      <c r="A16" s="11" t="s">
        <v>289</v>
      </c>
      <c r="B16" s="12">
        <f>SUMIF('Cleaned Data'!$C$2:$C$320,A16,'Cleaned Data'!$G$2:$G$320)</f>
        <v>720.07</v>
      </c>
      <c r="C16" s="13">
        <f t="shared" si="0"/>
        <v>720.07000160000007</v>
      </c>
    </row>
    <row r="17" spans="1:3" x14ac:dyDescent="0.25">
      <c r="A17" s="11" t="s">
        <v>546</v>
      </c>
      <c r="B17" s="12">
        <f>SUMIF('Cleaned Data'!$C$2:$C$320,A17,'Cleaned Data'!$G$2:$G$320)</f>
        <v>1154.68</v>
      </c>
      <c r="C17" s="13">
        <f t="shared" si="0"/>
        <v>1154.6800017</v>
      </c>
    </row>
    <row r="18" spans="1:3" x14ac:dyDescent="0.25">
      <c r="A18" s="11" t="s">
        <v>308</v>
      </c>
      <c r="B18" s="12">
        <f>SUMIF('Cleaned Data'!$C$2:$C$320,A18,'Cleaned Data'!$G$2:$G$320)</f>
        <v>1268.8599999999999</v>
      </c>
      <c r="C18" s="13">
        <f t="shared" si="0"/>
        <v>1268.8600018</v>
      </c>
    </row>
    <row r="19" spans="1:3" x14ac:dyDescent="0.25">
      <c r="A19" s="11" t="s">
        <v>528</v>
      </c>
      <c r="B19" s="12">
        <f>SUMIF('Cleaned Data'!$C$2:$C$320,A19,'Cleaned Data'!$G$2:$G$320)</f>
        <v>107.84</v>
      </c>
      <c r="C19" s="13">
        <f t="shared" si="0"/>
        <v>107.8400019</v>
      </c>
    </row>
    <row r="20" spans="1:3" x14ac:dyDescent="0.25">
      <c r="A20" s="11" t="s">
        <v>365</v>
      </c>
      <c r="B20" s="12">
        <f>SUMIF('Cleaned Data'!$C$2:$C$320,A20,'Cleaned Data'!$G$2:$G$320)</f>
        <v>1188.06</v>
      </c>
      <c r="C20" s="13">
        <f t="shared" si="0"/>
        <v>1188.0600019999999</v>
      </c>
    </row>
    <row r="21" spans="1:3" x14ac:dyDescent="0.25">
      <c r="A21" s="11" t="s">
        <v>215</v>
      </c>
      <c r="B21" s="12">
        <f>SUMIF('Cleaned Data'!$C$2:$C$320,A21,'Cleaned Data'!$G$2:$G$320)</f>
        <v>2135.9700000000003</v>
      </c>
      <c r="C21" s="13">
        <f t="shared" si="0"/>
        <v>2135.9700021000003</v>
      </c>
    </row>
    <row r="22" spans="1:3" x14ac:dyDescent="0.25">
      <c r="A22" s="11" t="s">
        <v>399</v>
      </c>
      <c r="B22" s="12">
        <f>SUMIF('Cleaned Data'!$C$2:$C$320,A22,'Cleaned Data'!$G$2:$G$320)</f>
        <v>171.19</v>
      </c>
      <c r="C22" s="13">
        <f t="shared" si="0"/>
        <v>171.19000220000001</v>
      </c>
    </row>
    <row r="23" spans="1:3" x14ac:dyDescent="0.25">
      <c r="A23" s="11" t="s">
        <v>45</v>
      </c>
      <c r="B23" s="12">
        <f>SUMIF('Cleaned Data'!$C$2:$C$320,A23,'Cleaned Data'!$G$2:$G$320)</f>
        <v>2609.98</v>
      </c>
      <c r="C23" s="13">
        <f t="shared" si="0"/>
        <v>2609.9800022999998</v>
      </c>
    </row>
    <row r="24" spans="1:3" x14ac:dyDescent="0.25">
      <c r="A24" s="11" t="s">
        <v>347</v>
      </c>
      <c r="B24" s="12">
        <f>SUMIF('Cleaned Data'!$C$2:$C$320,A24,'Cleaned Data'!$G$2:$G$320)</f>
        <v>2986.03</v>
      </c>
      <c r="C24" s="13">
        <f t="shared" si="0"/>
        <v>2986.0300024000003</v>
      </c>
    </row>
    <row r="25" spans="1:3" x14ac:dyDescent="0.25">
      <c r="A25" s="11" t="s">
        <v>157</v>
      </c>
      <c r="B25" s="12">
        <f>SUMIF('Cleaned Data'!$C$2:$C$320,A25,'Cleaned Data'!$G$2:$G$320)</f>
        <v>190.31</v>
      </c>
      <c r="C25" s="13">
        <f t="shared" si="0"/>
        <v>190.3100025</v>
      </c>
    </row>
    <row r="26" spans="1:3" x14ac:dyDescent="0.25">
      <c r="A26" s="11" t="s">
        <v>116</v>
      </c>
      <c r="B26" s="12">
        <f>SUMIF('Cleaned Data'!$C$2:$C$320,A26,'Cleaned Data'!$G$2:$G$320)</f>
        <v>3773.33</v>
      </c>
      <c r="C26" s="13">
        <f t="shared" si="0"/>
        <v>3773.3300025999997</v>
      </c>
    </row>
    <row r="27" spans="1:3" x14ac:dyDescent="0.25">
      <c r="A27" s="11" t="s">
        <v>537</v>
      </c>
      <c r="B27" s="12">
        <f>SUMIF('Cleaned Data'!$C$2:$C$320,A27,'Cleaned Data'!$G$2:$G$320)</f>
        <v>144.75</v>
      </c>
      <c r="C27" s="13">
        <f t="shared" si="0"/>
        <v>144.75000270000001</v>
      </c>
    </row>
    <row r="28" spans="1:3" x14ac:dyDescent="0.25">
      <c r="A28" s="11" t="s">
        <v>91</v>
      </c>
      <c r="B28" s="12">
        <f>SUMIF('Cleaned Data'!$C$2:$C$320,A28,'Cleaned Data'!$G$2:$G$320)</f>
        <v>2275.38</v>
      </c>
      <c r="C28" s="13">
        <f t="shared" si="0"/>
        <v>2275.3800028000001</v>
      </c>
    </row>
    <row r="29" spans="1:3" x14ac:dyDescent="0.25">
      <c r="A29" s="11" t="s">
        <v>127</v>
      </c>
      <c r="B29" s="12">
        <f>SUMIF('Cleaned Data'!$C$2:$C$320,A29,'Cleaned Data'!$G$2:$G$320)</f>
        <v>1833.1100000000001</v>
      </c>
      <c r="C29" s="13">
        <f t="shared" si="0"/>
        <v>1833.1100029000002</v>
      </c>
    </row>
    <row r="30" spans="1:3" x14ac:dyDescent="0.25">
      <c r="A30" s="11" t="s">
        <v>181</v>
      </c>
      <c r="B30" s="12">
        <f>SUMIF('Cleaned Data'!$C$2:$C$320,A30,'Cleaned Data'!$G$2:$G$320)</f>
        <v>828.55</v>
      </c>
      <c r="C30" s="13">
        <f t="shared" si="0"/>
        <v>828.55000299999995</v>
      </c>
    </row>
    <row r="31" spans="1:3" x14ac:dyDescent="0.25">
      <c r="A31" s="11" t="s">
        <v>53</v>
      </c>
      <c r="B31" s="12">
        <f>SUMIF('Cleaned Data'!$C$2:$C$320,A31,'Cleaned Data'!$G$2:$G$320)</f>
        <v>9.58</v>
      </c>
      <c r="C31" s="13">
        <f t="shared" si="0"/>
        <v>9.5800031000000008</v>
      </c>
    </row>
    <row r="32" spans="1:3" x14ac:dyDescent="0.25">
      <c r="A32" s="11" t="s">
        <v>377</v>
      </c>
      <c r="B32" s="12">
        <f>SUMIF('Cleaned Data'!$C$2:$C$320,A32,'Cleaned Data'!$G$2:$G$320)</f>
        <v>877</v>
      </c>
      <c r="C32" s="13">
        <f t="shared" si="0"/>
        <v>877.00000320000004</v>
      </c>
    </row>
    <row r="33" spans="1:3" x14ac:dyDescent="0.25">
      <c r="A33" s="11" t="s">
        <v>531</v>
      </c>
      <c r="B33" s="12">
        <f>SUMIF('Cleaned Data'!$C$2:$C$320,A33,'Cleaned Data'!$G$2:$G$320)</f>
        <v>1159.51</v>
      </c>
      <c r="C33" s="13">
        <f t="shared" si="0"/>
        <v>1159.5100032999999</v>
      </c>
    </row>
    <row r="34" spans="1:3" x14ac:dyDescent="0.25">
      <c r="A34" s="11" t="s">
        <v>452</v>
      </c>
      <c r="B34" s="12">
        <f>SUMIF('Cleaned Data'!$C$2:$C$320,A34,'Cleaned Data'!$G$2:$G$320)</f>
        <v>1241.3400000000001</v>
      </c>
      <c r="C34" s="13">
        <f t="shared" si="0"/>
        <v>1241.3400034000001</v>
      </c>
    </row>
    <row r="35" spans="1:3" x14ac:dyDescent="0.25">
      <c r="A35" s="11" t="s">
        <v>382</v>
      </c>
      <c r="B35" s="12">
        <f>SUMIF('Cleaned Data'!$C$2:$C$320,A35,'Cleaned Data'!$G$2:$G$320)</f>
        <v>1501.08</v>
      </c>
      <c r="C35" s="13">
        <f t="shared" si="0"/>
        <v>1501.0800035</v>
      </c>
    </row>
    <row r="36" spans="1:3" x14ac:dyDescent="0.25">
      <c r="A36" s="11" t="s">
        <v>414</v>
      </c>
      <c r="B36" s="12">
        <f>SUMIF('Cleaned Data'!$C$2:$C$320,A36,'Cleaned Data'!$G$2:$G$320)</f>
        <v>1282.6500000000001</v>
      </c>
      <c r="C36" s="13">
        <f t="shared" si="0"/>
        <v>1282.6500036</v>
      </c>
    </row>
    <row r="37" spans="1:3" x14ac:dyDescent="0.25">
      <c r="A37" s="11" t="s">
        <v>89</v>
      </c>
      <c r="B37" s="12">
        <f>SUMIF('Cleaned Data'!$C$2:$C$320,A37,'Cleaned Data'!$G$2:$G$320)</f>
        <v>300.19</v>
      </c>
      <c r="C37" s="13">
        <f t="shared" si="0"/>
        <v>300.19000369999998</v>
      </c>
    </row>
    <row r="38" spans="1:3" x14ac:dyDescent="0.25">
      <c r="A38" s="11" t="s">
        <v>224</v>
      </c>
      <c r="B38" s="12">
        <f>SUMIF('Cleaned Data'!$C$2:$C$320,A38,'Cleaned Data'!$G$2:$G$320)</f>
        <v>1923.73</v>
      </c>
      <c r="C38" s="13">
        <f t="shared" si="0"/>
        <v>1923.7300038000001</v>
      </c>
    </row>
    <row r="39" spans="1:3" x14ac:dyDescent="0.25">
      <c r="A39" s="11" t="s">
        <v>294</v>
      </c>
      <c r="B39" s="12">
        <f>SUMIF('Cleaned Data'!$C$2:$C$320,A39,'Cleaned Data'!$G$2:$G$320)</f>
        <v>254.47</v>
      </c>
      <c r="C39" s="13">
        <f t="shared" si="0"/>
        <v>254.47000389999999</v>
      </c>
    </row>
    <row r="40" spans="1:3" x14ac:dyDescent="0.25">
      <c r="A40" s="11" t="s">
        <v>306</v>
      </c>
      <c r="B40" s="12">
        <f>SUMIF('Cleaned Data'!$C$2:$C$320,A40,'Cleaned Data'!$G$2:$G$320)</f>
        <v>989.87</v>
      </c>
      <c r="C40" s="13">
        <f t="shared" si="0"/>
        <v>989.87000399999999</v>
      </c>
    </row>
    <row r="41" spans="1:3" x14ac:dyDescent="0.25">
      <c r="A41" s="11" t="s">
        <v>533</v>
      </c>
      <c r="B41" s="12">
        <f>SUMIF('Cleaned Data'!$C$2:$C$320,A41,'Cleaned Data'!$G$2:$G$320)</f>
        <v>346.92</v>
      </c>
      <c r="C41" s="13">
        <f t="shared" si="0"/>
        <v>346.92000410000003</v>
      </c>
    </row>
    <row r="42" spans="1:3" x14ac:dyDescent="0.25">
      <c r="A42" s="11" t="s">
        <v>259</v>
      </c>
      <c r="B42" s="12">
        <f>SUMIF('Cleaned Data'!$C$2:$C$320,A42,'Cleaned Data'!$G$2:$G$320)</f>
        <v>2878.5299999999997</v>
      </c>
      <c r="C42" s="13">
        <f t="shared" si="0"/>
        <v>2878.5300041999999</v>
      </c>
    </row>
    <row r="43" spans="1:3" x14ac:dyDescent="0.25">
      <c r="A43" s="11" t="s">
        <v>314</v>
      </c>
      <c r="B43" s="12">
        <f>SUMIF('Cleaned Data'!$C$2:$C$320,A43,'Cleaned Data'!$G$2:$G$320)</f>
        <v>1900.5300000000002</v>
      </c>
      <c r="C43" s="13">
        <f t="shared" si="0"/>
        <v>1900.5300043000002</v>
      </c>
    </row>
    <row r="44" spans="1:3" x14ac:dyDescent="0.25">
      <c r="A44" s="11" t="s">
        <v>145</v>
      </c>
      <c r="B44" s="12">
        <f>SUMIF('Cleaned Data'!$C$2:$C$320,A44,'Cleaned Data'!$G$2:$G$320)</f>
        <v>644.07000000000005</v>
      </c>
      <c r="C44" s="13">
        <f t="shared" si="0"/>
        <v>644.07000440000002</v>
      </c>
    </row>
    <row r="45" spans="1:3" x14ac:dyDescent="0.25">
      <c r="A45" s="11" t="s">
        <v>173</v>
      </c>
      <c r="B45" s="12">
        <f>SUMIF('Cleaned Data'!$C$2:$C$320,A45,'Cleaned Data'!$G$2:$G$320)</f>
        <v>2142.41</v>
      </c>
      <c r="C45" s="13">
        <f t="shared" si="0"/>
        <v>2142.4100045</v>
      </c>
    </row>
    <row r="46" spans="1:3" x14ac:dyDescent="0.25">
      <c r="A46" s="11" t="s">
        <v>443</v>
      </c>
      <c r="B46" s="12">
        <f>SUMIF('Cleaned Data'!$C$2:$C$320,A46,'Cleaned Data'!$G$2:$G$320)</f>
        <v>395.8</v>
      </c>
      <c r="C46" s="13">
        <f t="shared" si="0"/>
        <v>395.80000460000002</v>
      </c>
    </row>
    <row r="47" spans="1:3" x14ac:dyDescent="0.25">
      <c r="A47" s="11" t="s">
        <v>544</v>
      </c>
      <c r="B47" s="12">
        <f>SUMIF('Cleaned Data'!$C$2:$C$320,A47,'Cleaned Data'!$G$2:$G$320)</f>
        <v>283.02</v>
      </c>
      <c r="C47" s="13">
        <f t="shared" si="0"/>
        <v>283.02000469999996</v>
      </c>
    </row>
    <row r="48" spans="1:3" x14ac:dyDescent="0.25">
      <c r="A48" s="11" t="s">
        <v>388</v>
      </c>
      <c r="B48" s="12">
        <f>SUMIF('Cleaned Data'!$C$2:$C$320,A48,'Cleaned Data'!$G$2:$G$320)</f>
        <v>673.99</v>
      </c>
      <c r="C48" s="13">
        <f t="shared" si="0"/>
        <v>673.99000480000007</v>
      </c>
    </row>
    <row r="49" spans="1:3" x14ac:dyDescent="0.25">
      <c r="A49" s="11" t="s">
        <v>32</v>
      </c>
      <c r="B49" s="12">
        <f>SUMIF('Cleaned Data'!$C$2:$C$320,A49,'Cleaned Data'!$G$2:$G$320)</f>
        <v>245.28</v>
      </c>
      <c r="C49" s="13">
        <f t="shared" si="0"/>
        <v>245.28000489999999</v>
      </c>
    </row>
    <row r="50" spans="1:3" x14ac:dyDescent="0.25">
      <c r="A50" s="11" t="s">
        <v>310</v>
      </c>
      <c r="B50" s="12">
        <f>SUMIF('Cleaned Data'!$C$2:$C$320,A50,'Cleaned Data'!$G$2:$G$320)</f>
        <v>1222.57</v>
      </c>
      <c r="C50" s="13">
        <f t="shared" si="0"/>
        <v>1222.570005</v>
      </c>
    </row>
    <row r="51" spans="1:3" x14ac:dyDescent="0.25">
      <c r="A51" s="11" t="s">
        <v>151</v>
      </c>
      <c r="B51" s="12">
        <f>SUMIF('Cleaned Data'!$C$2:$C$320,A51,'Cleaned Data'!$G$2:$G$320)</f>
        <v>673.99</v>
      </c>
      <c r="C51" s="13">
        <f t="shared" si="0"/>
        <v>673.99000509999996</v>
      </c>
    </row>
    <row r="52" spans="1:3" x14ac:dyDescent="0.25">
      <c r="A52" s="11" t="s">
        <v>183</v>
      </c>
      <c r="B52" s="12">
        <f>SUMIF('Cleaned Data'!$C$2:$C$320,A52,'Cleaned Data'!$G$2:$G$320)</f>
        <v>1586.75</v>
      </c>
      <c r="C52" s="13">
        <f t="shared" si="0"/>
        <v>1586.7500052</v>
      </c>
    </row>
    <row r="53" spans="1:3" x14ac:dyDescent="0.25">
      <c r="A53" s="11" t="s">
        <v>192</v>
      </c>
      <c r="B53" s="12">
        <f>SUMIF('Cleaned Data'!$C$2:$C$320,A53,'Cleaned Data'!$G$2:$G$320)</f>
        <v>224.1</v>
      </c>
      <c r="C53" s="13">
        <f t="shared" si="0"/>
        <v>224.10000529999999</v>
      </c>
    </row>
    <row r="54" spans="1:3" x14ac:dyDescent="0.25">
      <c r="A54" s="11" t="s">
        <v>322</v>
      </c>
      <c r="B54" s="12">
        <f>SUMIF('Cleaned Data'!$C$2:$C$320,A54,'Cleaned Data'!$G$2:$G$320)</f>
        <v>210.12</v>
      </c>
      <c r="C54" s="13">
        <f t="shared" si="0"/>
        <v>210.1200054</v>
      </c>
    </row>
    <row r="55" spans="1:3" x14ac:dyDescent="0.25">
      <c r="A55" s="11" t="s">
        <v>187</v>
      </c>
      <c r="B55" s="12">
        <f>SUMIF('Cleaned Data'!$C$2:$C$320,A55,'Cleaned Data'!$G$2:$G$320)</f>
        <v>115.71</v>
      </c>
      <c r="C55" s="13">
        <f t="shared" si="0"/>
        <v>115.71000549999999</v>
      </c>
    </row>
    <row r="56" spans="1:3" x14ac:dyDescent="0.25">
      <c r="A56" s="11" t="s">
        <v>292</v>
      </c>
      <c r="B56" s="12">
        <f>SUMIF('Cleaned Data'!$C$2:$C$320,A56,'Cleaned Data'!$G$2:$G$320)</f>
        <v>237.90999999999997</v>
      </c>
      <c r="C56" s="13">
        <f t="shared" si="0"/>
        <v>237.91000559999998</v>
      </c>
    </row>
    <row r="57" spans="1:3" x14ac:dyDescent="0.25">
      <c r="A57" s="11" t="s">
        <v>455</v>
      </c>
      <c r="B57" s="12">
        <f>SUMIF('Cleaned Data'!$C$2:$C$320,A57,'Cleaned Data'!$G$2:$G$320)</f>
        <v>338.85</v>
      </c>
      <c r="C57" s="13">
        <f t="shared" si="0"/>
        <v>338.8500057</v>
      </c>
    </row>
    <row r="58" spans="1:3" x14ac:dyDescent="0.25">
      <c r="A58" s="11" t="s">
        <v>420</v>
      </c>
      <c r="B58" s="12">
        <f>SUMIF('Cleaned Data'!$C$2:$C$320,A58,'Cleaned Data'!$G$2:$G$320)</f>
        <v>70.349999999999994</v>
      </c>
      <c r="C58" s="13">
        <f t="shared" si="0"/>
        <v>70.350005799999991</v>
      </c>
    </row>
    <row r="59" spans="1:3" x14ac:dyDescent="0.25">
      <c r="A59" s="11" t="s">
        <v>261</v>
      </c>
      <c r="B59" s="12">
        <f>SUMIF('Cleaned Data'!$C$2:$C$320,A59,'Cleaned Data'!$G$2:$G$320)</f>
        <v>1025.9100000000001</v>
      </c>
      <c r="C59" s="13">
        <f t="shared" si="0"/>
        <v>1025.9100059</v>
      </c>
    </row>
    <row r="60" spans="1:3" x14ac:dyDescent="0.25">
      <c r="A60" s="11" t="s">
        <v>427</v>
      </c>
      <c r="B60" s="12">
        <f>SUMIF('Cleaned Data'!$C$2:$C$320,A60,'Cleaned Data'!$G$2:$G$320)</f>
        <v>72.849999999999994</v>
      </c>
      <c r="C60" s="13">
        <f t="shared" si="0"/>
        <v>72.850005999999993</v>
      </c>
    </row>
    <row r="61" spans="1:3" x14ac:dyDescent="0.25">
      <c r="A61" s="11" t="s">
        <v>129</v>
      </c>
      <c r="B61" s="12">
        <f>SUMIF('Cleaned Data'!$C$2:$C$320,A61,'Cleaned Data'!$G$2:$G$320)</f>
        <v>892.75</v>
      </c>
      <c r="C61" s="13">
        <f t="shared" si="0"/>
        <v>892.75000609999995</v>
      </c>
    </row>
    <row r="62" spans="1:3" x14ac:dyDescent="0.25">
      <c r="A62" s="11" t="s">
        <v>105</v>
      </c>
      <c r="B62" s="12">
        <f>SUMIF('Cleaned Data'!$C$2:$C$320,A62,'Cleaned Data'!$G$2:$G$320)</f>
        <v>3363.55</v>
      </c>
      <c r="C62" s="13">
        <f t="shared" si="0"/>
        <v>3363.5500062000001</v>
      </c>
    </row>
    <row r="63" spans="1:3" x14ac:dyDescent="0.25">
      <c r="A63" s="11" t="s">
        <v>141</v>
      </c>
      <c r="B63" s="12">
        <f>SUMIF('Cleaned Data'!$C$2:$C$320,A63,'Cleaned Data'!$G$2:$G$320)</f>
        <v>3252.48</v>
      </c>
      <c r="C63" s="13">
        <f t="shared" si="0"/>
        <v>3252.4800063000002</v>
      </c>
    </row>
    <row r="64" spans="1:3" x14ac:dyDescent="0.25">
      <c r="A64" s="11" t="s">
        <v>16</v>
      </c>
      <c r="B64" s="12">
        <f>SUMIF('Cleaned Data'!$C$2:$C$320,A64,'Cleaned Data'!$G$2:$G$320)</f>
        <v>3515.38</v>
      </c>
      <c r="C64" s="13">
        <f t="shared" si="0"/>
        <v>3515.3800064000002</v>
      </c>
    </row>
    <row r="65" spans="1:3" x14ac:dyDescent="0.25">
      <c r="A65" s="11" t="s">
        <v>163</v>
      </c>
      <c r="B65" s="12">
        <f>SUMIF('Cleaned Data'!$C$2:$C$320,A65,'Cleaned Data'!$G$2:$G$320)</f>
        <v>6388.51</v>
      </c>
      <c r="C65" s="13">
        <f t="shared" si="0"/>
        <v>6388.5100065000006</v>
      </c>
    </row>
    <row r="66" spans="1:3" x14ac:dyDescent="0.25">
      <c r="A66" s="11" t="s">
        <v>96</v>
      </c>
      <c r="B66" s="12">
        <f>SUMIF('Cleaned Data'!$C$2:$C$320,A66,'Cleaned Data'!$G$2:$G$320)</f>
        <v>336.31</v>
      </c>
      <c r="C66" s="13">
        <f t="shared" si="0"/>
        <v>336.31000660000001</v>
      </c>
    </row>
    <row r="67" spans="1:3" x14ac:dyDescent="0.25">
      <c r="A67" s="11" t="s">
        <v>149</v>
      </c>
      <c r="B67" s="12">
        <f>SUMIF('Cleaned Data'!$C$2:$C$320,A67,'Cleaned Data'!$G$2:$G$320)</f>
        <v>725.21</v>
      </c>
      <c r="C67" s="13">
        <f t="shared" si="0"/>
        <v>725.21000670000001</v>
      </c>
    </row>
    <row r="68" spans="1:3" x14ac:dyDescent="0.25">
      <c r="A68" s="11" t="s">
        <v>541</v>
      </c>
      <c r="B68" s="12">
        <f>SUMIF('Cleaned Data'!$C$2:$C$320,A68,'Cleaned Data'!$G$2:$G$320)</f>
        <v>1865.87</v>
      </c>
      <c r="C68" s="13">
        <f t="shared" ref="C68:C131" si="1">B68+ROW()/10000000</f>
        <v>1865.8700067999998</v>
      </c>
    </row>
    <row r="69" spans="1:3" x14ac:dyDescent="0.25">
      <c r="A69" s="11" t="s">
        <v>175</v>
      </c>
      <c r="B69" s="12">
        <f>SUMIF('Cleaned Data'!$C$2:$C$320,A69,'Cleaned Data'!$G$2:$G$320)</f>
        <v>3225.02</v>
      </c>
      <c r="C69" s="13">
        <f t="shared" si="1"/>
        <v>3225.0200068999998</v>
      </c>
    </row>
    <row r="70" spans="1:3" x14ac:dyDescent="0.25">
      <c r="A70" s="11" t="s">
        <v>155</v>
      </c>
      <c r="B70" s="12">
        <f>SUMIF('Cleaned Data'!$C$2:$C$320,A70,'Cleaned Data'!$G$2:$G$320)</f>
        <v>1325.99</v>
      </c>
      <c r="C70" s="13">
        <f t="shared" si="1"/>
        <v>1325.9900070000001</v>
      </c>
    </row>
    <row r="71" spans="1:3" x14ac:dyDescent="0.25">
      <c r="A71" s="11" t="s">
        <v>70</v>
      </c>
      <c r="B71" s="12">
        <f>SUMIF('Cleaned Data'!$C$2:$C$320,A71,'Cleaned Data'!$G$2:$G$320)</f>
        <v>349.09</v>
      </c>
      <c r="C71" s="13">
        <f t="shared" si="1"/>
        <v>349.09000709999998</v>
      </c>
    </row>
    <row r="72" spans="1:3" x14ac:dyDescent="0.25">
      <c r="A72" s="11" t="s">
        <v>552</v>
      </c>
      <c r="B72" s="12">
        <f>SUMIF('Cleaned Data'!$C$2:$C$320,A72,'Cleaned Data'!$G$2:$G$320)</f>
        <v>455.67</v>
      </c>
      <c r="C72" s="13">
        <f t="shared" si="1"/>
        <v>455.67000720000004</v>
      </c>
    </row>
    <row r="73" spans="1:3" x14ac:dyDescent="0.25">
      <c r="A73" s="11" t="s">
        <v>328</v>
      </c>
      <c r="B73" s="12">
        <f>SUMIF('Cleaned Data'!$C$2:$C$320,A73,'Cleaned Data'!$G$2:$G$320)</f>
        <v>470.5</v>
      </c>
      <c r="C73" s="13">
        <f t="shared" si="1"/>
        <v>470.50000729999999</v>
      </c>
    </row>
    <row r="74" spans="1:3" x14ac:dyDescent="0.25">
      <c r="A74" s="11" t="s">
        <v>367</v>
      </c>
      <c r="B74" s="12">
        <f>SUMIF('Cleaned Data'!$C$2:$C$320,A74,'Cleaned Data'!$G$2:$G$320)</f>
        <v>198.86</v>
      </c>
      <c r="C74" s="13">
        <f t="shared" si="1"/>
        <v>198.8600074</v>
      </c>
    </row>
    <row r="75" spans="1:3" x14ac:dyDescent="0.25">
      <c r="A75" s="11" t="s">
        <v>403</v>
      </c>
      <c r="B75" s="12">
        <f>SUMIF('Cleaned Data'!$C$2:$C$320,A75,'Cleaned Data'!$G$2:$G$320)</f>
        <v>2194.67</v>
      </c>
      <c r="C75" s="13">
        <f t="shared" si="1"/>
        <v>2194.6700074999999</v>
      </c>
    </row>
    <row r="76" spans="1:3" x14ac:dyDescent="0.25">
      <c r="A76" s="11" t="s">
        <v>113</v>
      </c>
      <c r="B76" s="12">
        <f>SUMIF('Cleaned Data'!$C$2:$C$320,A76,'Cleaned Data'!$G$2:$G$320)</f>
        <v>882.17</v>
      </c>
      <c r="C76" s="13">
        <f t="shared" si="1"/>
        <v>882.17000759999996</v>
      </c>
    </row>
    <row r="77" spans="1:3" x14ac:dyDescent="0.25">
      <c r="A77" s="11" t="s">
        <v>171</v>
      </c>
      <c r="B77" s="12">
        <f>SUMIF('Cleaned Data'!$C$2:$C$320,A77,'Cleaned Data'!$G$2:$G$320)</f>
        <v>66.27</v>
      </c>
      <c r="C77" s="13">
        <f t="shared" si="1"/>
        <v>66.270007699999994</v>
      </c>
    </row>
    <row r="78" spans="1:3" x14ac:dyDescent="0.25">
      <c r="A78" s="11" t="s">
        <v>434</v>
      </c>
      <c r="B78" s="12">
        <f>SUMIF('Cleaned Data'!$C$2:$C$320,A78,'Cleaned Data'!$G$2:$G$320)</f>
        <v>163.57</v>
      </c>
      <c r="C78" s="13">
        <f t="shared" si="1"/>
        <v>163.57000779999998</v>
      </c>
    </row>
    <row r="79" spans="1:3" x14ac:dyDescent="0.25">
      <c r="A79" s="11" t="s">
        <v>350</v>
      </c>
      <c r="B79" s="12">
        <f>SUMIF('Cleaned Data'!$C$2:$C$320,A79,'Cleaned Data'!$G$2:$G$320)</f>
        <v>206.9</v>
      </c>
      <c r="C79" s="13">
        <f t="shared" si="1"/>
        <v>206.90000790000002</v>
      </c>
    </row>
    <row r="80" spans="1:3" x14ac:dyDescent="0.25">
      <c r="A80" s="11" t="s">
        <v>137</v>
      </c>
      <c r="B80" s="12">
        <f>SUMIF('Cleaned Data'!$C$2:$C$320,A80,'Cleaned Data'!$G$2:$G$320)</f>
        <v>3152.16</v>
      </c>
      <c r="C80" s="13">
        <f t="shared" si="1"/>
        <v>3152.1600079999998</v>
      </c>
    </row>
    <row r="81" spans="1:3" x14ac:dyDescent="0.25">
      <c r="A81" s="11" t="s">
        <v>473</v>
      </c>
      <c r="B81" s="12">
        <f>SUMIF('Cleaned Data'!$C$2:$C$320,A81,'Cleaned Data'!$G$2:$G$320)</f>
        <v>220.28</v>
      </c>
      <c r="C81" s="13">
        <f t="shared" si="1"/>
        <v>220.2800081</v>
      </c>
    </row>
    <row r="82" spans="1:3" x14ac:dyDescent="0.25">
      <c r="A82" s="11" t="s">
        <v>561</v>
      </c>
      <c r="B82" s="12">
        <f>SUMIF('Cleaned Data'!$C$2:$C$320,A82,'Cleaned Data'!$G$2:$G$320)</f>
        <v>211.33</v>
      </c>
      <c r="C82" s="13">
        <f t="shared" si="1"/>
        <v>211.33000820000001</v>
      </c>
    </row>
    <row r="83" spans="1:3" x14ac:dyDescent="0.25">
      <c r="A83" s="11" t="s">
        <v>512</v>
      </c>
      <c r="B83" s="12">
        <f>SUMIF('Cleaned Data'!$C$2:$C$320,A83,'Cleaned Data'!$G$2:$G$320)</f>
        <v>1434.52</v>
      </c>
      <c r="C83" s="13">
        <f t="shared" si="1"/>
        <v>1434.5200083</v>
      </c>
    </row>
    <row r="84" spans="1:3" x14ac:dyDescent="0.25">
      <c r="A84" s="11" t="s">
        <v>357</v>
      </c>
      <c r="B84" s="12">
        <f>SUMIF('Cleaned Data'!$C$2:$C$320,A84,'Cleaned Data'!$G$2:$G$320)</f>
        <v>566.87</v>
      </c>
      <c r="C84" s="13">
        <f t="shared" si="1"/>
        <v>566.87000839999996</v>
      </c>
    </row>
    <row r="85" spans="1:3" x14ac:dyDescent="0.25">
      <c r="A85" s="11" t="s">
        <v>445</v>
      </c>
      <c r="B85" s="12">
        <f>SUMIF('Cleaned Data'!$C$2:$C$320,A85,'Cleaned Data'!$G$2:$G$320)</f>
        <v>1983.18</v>
      </c>
      <c r="C85" s="13">
        <f t="shared" si="1"/>
        <v>1983.1800085</v>
      </c>
    </row>
    <row r="86" spans="1:3" x14ac:dyDescent="0.25">
      <c r="A86" s="11" t="s">
        <v>371</v>
      </c>
      <c r="B86" s="12">
        <f>SUMIF('Cleaned Data'!$C$2:$C$320,A86,'Cleaned Data'!$G$2:$G$320)</f>
        <v>1219.98</v>
      </c>
      <c r="C86" s="13">
        <f t="shared" si="1"/>
        <v>1219.9800086</v>
      </c>
    </row>
    <row r="87" spans="1:3" x14ac:dyDescent="0.25">
      <c r="A87" s="11" t="s">
        <v>250</v>
      </c>
      <c r="B87" s="12">
        <f>SUMIF('Cleaned Data'!$C$2:$C$320,A87,'Cleaned Data'!$G$2:$G$320)</f>
        <v>14.51</v>
      </c>
      <c r="C87" s="13">
        <f t="shared" si="1"/>
        <v>14.5100087</v>
      </c>
    </row>
    <row r="88" spans="1:3" x14ac:dyDescent="0.25">
      <c r="A88" s="11" t="s">
        <v>109</v>
      </c>
      <c r="B88" s="12">
        <f>SUMIF('Cleaned Data'!$C$2:$C$320,A88,'Cleaned Data'!$G$2:$G$320)</f>
        <v>1906.8000000000002</v>
      </c>
      <c r="C88" s="13">
        <f t="shared" si="1"/>
        <v>1906.8000088000001</v>
      </c>
    </row>
    <row r="89" spans="1:3" x14ac:dyDescent="0.25">
      <c r="A89" s="11" t="s">
        <v>139</v>
      </c>
      <c r="B89" s="12">
        <f>SUMIF('Cleaned Data'!$C$2:$C$320,A89,'Cleaned Data'!$G$2:$G$320)</f>
        <v>16.850000000000001</v>
      </c>
      <c r="C89" s="13">
        <f t="shared" si="1"/>
        <v>16.850008900000002</v>
      </c>
    </row>
    <row r="90" spans="1:3" x14ac:dyDescent="0.25">
      <c r="A90" s="11" t="s">
        <v>559</v>
      </c>
      <c r="B90" s="12">
        <f>SUMIF('Cleaned Data'!$C$2:$C$320,A90,'Cleaned Data'!$G$2:$G$320)</f>
        <v>580.73</v>
      </c>
      <c r="C90" s="13">
        <f t="shared" si="1"/>
        <v>580.730009</v>
      </c>
    </row>
    <row r="91" spans="1:3" x14ac:dyDescent="0.25">
      <c r="A91" s="11" t="s">
        <v>265</v>
      </c>
      <c r="B91" s="12">
        <f>SUMIF('Cleaned Data'!$C$2:$C$320,A91,'Cleaned Data'!$G$2:$G$320)</f>
        <v>269.38</v>
      </c>
      <c r="C91" s="13">
        <f t="shared" si="1"/>
        <v>269.3800091</v>
      </c>
    </row>
    <row r="92" spans="1:3" x14ac:dyDescent="0.25">
      <c r="A92" s="11" t="s">
        <v>312</v>
      </c>
      <c r="B92" s="12">
        <f>SUMIF('Cleaned Data'!$C$2:$C$320,A92,'Cleaned Data'!$G$2:$G$320)</f>
        <v>230.55</v>
      </c>
      <c r="C92" s="13">
        <f t="shared" si="1"/>
        <v>230.55000920000001</v>
      </c>
    </row>
    <row r="93" spans="1:3" x14ac:dyDescent="0.25">
      <c r="A93" s="11" t="s">
        <v>68</v>
      </c>
      <c r="B93" s="12">
        <f>SUMIF('Cleaned Data'!$C$2:$C$320,A93,'Cleaned Data'!$G$2:$G$320)</f>
        <v>80.38</v>
      </c>
      <c r="C93" s="13">
        <f t="shared" si="1"/>
        <v>80.380009299999998</v>
      </c>
    </row>
    <row r="94" spans="1:3" x14ac:dyDescent="0.25">
      <c r="A94" s="11" t="s">
        <v>397</v>
      </c>
      <c r="B94" s="12">
        <f>SUMIF('Cleaned Data'!$C$2:$C$320,A94,'Cleaned Data'!$G$2:$G$320)</f>
        <v>2591.1799999999998</v>
      </c>
      <c r="C94" s="13">
        <f t="shared" si="1"/>
        <v>2591.1800094</v>
      </c>
    </row>
    <row r="95" spans="1:3" x14ac:dyDescent="0.25">
      <c r="A95" s="11" t="s">
        <v>217</v>
      </c>
      <c r="B95" s="12">
        <f>SUMIF('Cleaned Data'!$C$2:$C$320,A95,'Cleaned Data'!$G$2:$G$320)</f>
        <v>2095.67</v>
      </c>
      <c r="C95" s="13">
        <f t="shared" si="1"/>
        <v>2095.6700095000001</v>
      </c>
    </row>
    <row r="96" spans="1:3" x14ac:dyDescent="0.25">
      <c r="A96" s="11" t="s">
        <v>554</v>
      </c>
      <c r="B96" s="12">
        <f>SUMIF('Cleaned Data'!$C$2:$C$320,A96,'Cleaned Data'!$G$2:$G$320)</f>
        <v>711.94</v>
      </c>
      <c r="C96" s="13">
        <f t="shared" si="1"/>
        <v>711.94000960000005</v>
      </c>
    </row>
    <row r="97" spans="1:3" x14ac:dyDescent="0.25">
      <c r="A97" s="11" t="s">
        <v>87</v>
      </c>
      <c r="B97" s="12">
        <f>SUMIF('Cleaned Data'!$C$2:$C$320,A97,'Cleaned Data'!$G$2:$G$320)</f>
        <v>2242.16</v>
      </c>
      <c r="C97" s="13">
        <f t="shared" si="1"/>
        <v>2242.1600097</v>
      </c>
    </row>
    <row r="98" spans="1:3" x14ac:dyDescent="0.25">
      <c r="A98" s="11" t="s">
        <v>500</v>
      </c>
      <c r="B98" s="12">
        <f>SUMIF('Cleaned Data'!$C$2:$C$320,A98,'Cleaned Data'!$G$2:$G$320)</f>
        <v>151.16</v>
      </c>
      <c r="C98" s="13">
        <f t="shared" si="1"/>
        <v>151.16000979999998</v>
      </c>
    </row>
    <row r="99" spans="1:3" x14ac:dyDescent="0.25">
      <c r="A99" s="11" t="s">
        <v>458</v>
      </c>
      <c r="B99" s="12">
        <f>SUMIF('Cleaned Data'!$C$2:$C$320,A99,'Cleaned Data'!$G$2:$G$320)</f>
        <v>105.46</v>
      </c>
      <c r="C99" s="13">
        <f t="shared" si="1"/>
        <v>105.46000989999999</v>
      </c>
    </row>
    <row r="100" spans="1:3" x14ac:dyDescent="0.25">
      <c r="A100" s="11" t="s">
        <v>37</v>
      </c>
      <c r="B100" s="12">
        <f>SUMIF('Cleaned Data'!$C$2:$C$320,A100,'Cleaned Data'!$G$2:$G$320)</f>
        <v>573.35</v>
      </c>
      <c r="C100" s="13">
        <f t="shared" si="1"/>
        <v>573.35001</v>
      </c>
    </row>
    <row r="101" spans="1:3" x14ac:dyDescent="0.25">
      <c r="A101" s="11" t="s">
        <v>41</v>
      </c>
      <c r="B101" s="12">
        <f>SUMIF('Cleaned Data'!$C$2:$C$320,A101,'Cleaned Data'!$G$2:$G$320)</f>
        <v>616.04999999999995</v>
      </c>
      <c r="C101" s="13">
        <f t="shared" si="1"/>
        <v>616.05001010000001</v>
      </c>
    </row>
    <row r="102" spans="1:3" x14ac:dyDescent="0.25">
      <c r="A102" s="11" t="s">
        <v>30</v>
      </c>
      <c r="B102" s="12">
        <f>SUMIF('Cleaned Data'!$C$2:$C$320,A102,'Cleaned Data'!$G$2:$G$320)</f>
        <v>463.36</v>
      </c>
      <c r="C102" s="13">
        <f t="shared" si="1"/>
        <v>463.36001020000003</v>
      </c>
    </row>
    <row r="103" spans="1:3" x14ac:dyDescent="0.25">
      <c r="A103" s="11" t="s">
        <v>407</v>
      </c>
      <c r="B103" s="12">
        <f>SUMIF('Cleaned Data'!$C$2:$C$320,A103,'Cleaned Data'!$G$2:$G$320)</f>
        <v>258.37</v>
      </c>
      <c r="C103" s="13">
        <f t="shared" si="1"/>
        <v>258.37001029999999</v>
      </c>
    </row>
    <row r="104" spans="1:3" x14ac:dyDescent="0.25">
      <c r="A104" s="11" t="s">
        <v>393</v>
      </c>
      <c r="B104" s="12">
        <f>SUMIF('Cleaned Data'!$C$2:$C$320,A104,'Cleaned Data'!$G$2:$G$320)</f>
        <v>1247.0700000000002</v>
      </c>
      <c r="C104" s="13">
        <f t="shared" si="1"/>
        <v>1247.0700104000002</v>
      </c>
    </row>
    <row r="105" spans="1:3" x14ac:dyDescent="0.25">
      <c r="A105" s="11" t="s">
        <v>50</v>
      </c>
      <c r="B105" s="12">
        <f>SUMIF('Cleaned Data'!$C$2:$C$320,A105,'Cleaned Data'!$G$2:$G$320)</f>
        <v>7080.0399999999991</v>
      </c>
      <c r="C105" s="13">
        <f t="shared" si="1"/>
        <v>7080.040010499999</v>
      </c>
    </row>
    <row r="106" spans="1:3" x14ac:dyDescent="0.25">
      <c r="A106" s="11" t="s">
        <v>98</v>
      </c>
      <c r="B106" s="12">
        <f>SUMIF('Cleaned Data'!$C$2:$C$320,A106,'Cleaned Data'!$G$2:$G$320)</f>
        <v>105.46</v>
      </c>
      <c r="C106" s="13">
        <f t="shared" si="1"/>
        <v>105.46001059999999</v>
      </c>
    </row>
    <row r="107" spans="1:3" x14ac:dyDescent="0.25">
      <c r="A107" s="11" t="s">
        <v>497</v>
      </c>
      <c r="B107" s="12">
        <f>SUMIF('Cleaned Data'!$C$2:$C$320,A107,'Cleaned Data'!$G$2:$G$320)</f>
        <v>592.17999999999995</v>
      </c>
      <c r="C107" s="13">
        <f t="shared" si="1"/>
        <v>592.18001069999991</v>
      </c>
    </row>
    <row r="108" spans="1:3" x14ac:dyDescent="0.25">
      <c r="A108" s="11" t="s">
        <v>510</v>
      </c>
      <c r="B108" s="12">
        <f>SUMIF('Cleaned Data'!$C$2:$C$320,A108,'Cleaned Data'!$G$2:$G$320)</f>
        <v>2554.7399999999998</v>
      </c>
      <c r="C108" s="13">
        <f t="shared" si="1"/>
        <v>2554.7400107999997</v>
      </c>
    </row>
    <row r="109" spans="1:3" x14ac:dyDescent="0.25">
      <c r="A109" s="11" t="s">
        <v>489</v>
      </c>
      <c r="B109" s="12">
        <f>SUMIF('Cleaned Data'!$C$2:$C$320,A109,'Cleaned Data'!$G$2:$G$320)</f>
        <v>1238.54</v>
      </c>
      <c r="C109" s="13">
        <f t="shared" si="1"/>
        <v>1238.5400109</v>
      </c>
    </row>
    <row r="110" spans="1:3" x14ac:dyDescent="0.25">
      <c r="A110" s="11" t="s">
        <v>220</v>
      </c>
      <c r="B110" s="12">
        <f>SUMIF('Cleaned Data'!$C$2:$C$320,A110,'Cleaned Data'!$G$2:$G$320)</f>
        <v>1343.12</v>
      </c>
      <c r="C110" s="13">
        <f t="shared" si="1"/>
        <v>1343.120011</v>
      </c>
    </row>
    <row r="111" spans="1:3" x14ac:dyDescent="0.25">
      <c r="A111" s="11" t="s">
        <v>340</v>
      </c>
      <c r="B111" s="12">
        <f>SUMIF('Cleaned Data'!$C$2:$C$320,A111,'Cleaned Data'!$G$2:$G$320)</f>
        <v>3089.12</v>
      </c>
      <c r="C111" s="13">
        <f t="shared" si="1"/>
        <v>3089.1200110999998</v>
      </c>
    </row>
    <row r="112" spans="1:3" x14ac:dyDescent="0.25">
      <c r="A112" s="11" t="s">
        <v>465</v>
      </c>
      <c r="B112" s="12">
        <f>SUMIF('Cleaned Data'!$C$2:$C$320,A112,'Cleaned Data'!$G$2:$G$320)</f>
        <v>429.84</v>
      </c>
      <c r="C112" s="13">
        <f t="shared" si="1"/>
        <v>429.84001119999999</v>
      </c>
    </row>
    <row r="113" spans="1:3" x14ac:dyDescent="0.25">
      <c r="A113" s="11" t="s">
        <v>520</v>
      </c>
      <c r="B113" s="12">
        <f>SUMIF('Cleaned Data'!$C$2:$C$320,A113,'Cleaned Data'!$G$2:$G$320)</f>
        <v>1258.83</v>
      </c>
      <c r="C113" s="13">
        <f t="shared" si="1"/>
        <v>1258.8300113</v>
      </c>
    </row>
    <row r="114" spans="1:3" x14ac:dyDescent="0.25">
      <c r="A114" s="11" t="s">
        <v>360</v>
      </c>
      <c r="B114" s="12">
        <f>SUMIF('Cleaned Data'!$C$2:$C$320,A114,'Cleaned Data'!$G$2:$G$320)</f>
        <v>4171.3100000000004</v>
      </c>
      <c r="C114" s="13">
        <f t="shared" si="1"/>
        <v>4171.3100114000008</v>
      </c>
    </row>
    <row r="115" spans="1:3" x14ac:dyDescent="0.25">
      <c r="A115" s="11" t="s">
        <v>336</v>
      </c>
      <c r="B115" s="12">
        <f>SUMIF('Cleaned Data'!$C$2:$C$320,A115,'Cleaned Data'!$G$2:$G$320)</f>
        <v>1011.5799999999999</v>
      </c>
      <c r="C115" s="13">
        <f t="shared" si="1"/>
        <v>1011.5800115</v>
      </c>
    </row>
    <row r="116" spans="1:3" x14ac:dyDescent="0.25">
      <c r="A116" s="11" t="s">
        <v>502</v>
      </c>
      <c r="B116" s="12">
        <f>SUMIF('Cleaned Data'!$C$2:$C$320,A116,'Cleaned Data'!$G$2:$G$320)</f>
        <v>3030.87</v>
      </c>
      <c r="C116" s="13">
        <f t="shared" si="1"/>
        <v>3030.8700116</v>
      </c>
    </row>
    <row r="117" spans="1:3" x14ac:dyDescent="0.25">
      <c r="A117" s="11" t="s">
        <v>405</v>
      </c>
      <c r="B117" s="12">
        <f>SUMIF('Cleaned Data'!$C$2:$C$320,A117,'Cleaned Data'!$G$2:$G$320)</f>
        <v>2524.21</v>
      </c>
      <c r="C117" s="13">
        <f t="shared" si="1"/>
        <v>2524.2100117</v>
      </c>
    </row>
    <row r="118" spans="1:3" x14ac:dyDescent="0.25">
      <c r="A118" s="11" t="s">
        <v>159</v>
      </c>
      <c r="B118" s="12">
        <f>SUMIF('Cleaned Data'!$C$2:$C$320,A118,'Cleaned Data'!$G$2:$G$320)</f>
        <v>155.62</v>
      </c>
      <c r="C118" s="13">
        <f t="shared" si="1"/>
        <v>155.62001180000001</v>
      </c>
    </row>
    <row r="119" spans="1:3" x14ac:dyDescent="0.25">
      <c r="A119" s="11" t="s">
        <v>569</v>
      </c>
      <c r="B119" s="12">
        <f>SUMIF('Cleaned Data'!$C$2:$C$320,A119,'Cleaned Data'!$G$2:$G$320)</f>
        <v>3171.36</v>
      </c>
      <c r="C119" s="13">
        <f t="shared" si="1"/>
        <v>3171.3600119000002</v>
      </c>
    </row>
    <row r="120" spans="1:3" x14ac:dyDescent="0.25">
      <c r="A120" s="11" t="s">
        <v>384</v>
      </c>
      <c r="B120" s="12">
        <f>SUMIF('Cleaned Data'!$C$2:$C$320,A120,'Cleaned Data'!$G$2:$G$320)</f>
        <v>944.44</v>
      </c>
      <c r="C120" s="13">
        <f t="shared" si="1"/>
        <v>944.44001200000002</v>
      </c>
    </row>
    <row r="121" spans="1:3" x14ac:dyDescent="0.25">
      <c r="A121" s="11" t="s">
        <v>493</v>
      </c>
      <c r="B121" s="12">
        <f>SUMIF('Cleaned Data'!$C$2:$C$320,A121,'Cleaned Data'!$G$2:$G$320)</f>
        <v>178.97</v>
      </c>
      <c r="C121" s="13">
        <f t="shared" si="1"/>
        <v>178.97001209999999</v>
      </c>
    </row>
    <row r="122" spans="1:3" x14ac:dyDescent="0.25">
      <c r="A122" s="11" t="s">
        <v>189</v>
      </c>
      <c r="B122" s="12">
        <f>SUMIF('Cleaned Data'!$C$2:$C$320,A122,'Cleaned Data'!$G$2:$G$320)</f>
        <v>2554.8000000000002</v>
      </c>
      <c r="C122" s="13">
        <f t="shared" si="1"/>
        <v>2554.8000122000003</v>
      </c>
    </row>
    <row r="123" spans="1:3" x14ac:dyDescent="0.25">
      <c r="A123" s="11" t="s">
        <v>133</v>
      </c>
      <c r="B123" s="12">
        <f>SUMIF('Cleaned Data'!$C$2:$C$320,A123,'Cleaned Data'!$G$2:$G$320)</f>
        <v>1085.68</v>
      </c>
      <c r="C123" s="13">
        <f t="shared" si="1"/>
        <v>1085.6800123</v>
      </c>
    </row>
    <row r="124" spans="1:3" x14ac:dyDescent="0.25">
      <c r="A124" s="11" t="s">
        <v>304</v>
      </c>
      <c r="B124" s="12">
        <f>SUMIF('Cleaned Data'!$C$2:$C$320,A124,'Cleaned Data'!$G$2:$G$320)</f>
        <v>298.38</v>
      </c>
      <c r="C124" s="13">
        <f t="shared" si="1"/>
        <v>298.3800124</v>
      </c>
    </row>
    <row r="125" spans="1:3" x14ac:dyDescent="0.25">
      <c r="A125" s="11" t="s">
        <v>318</v>
      </c>
      <c r="B125" s="12">
        <f>SUMIF('Cleaned Data'!$C$2:$C$320,A125,'Cleaned Data'!$G$2:$G$320)</f>
        <v>1782.96</v>
      </c>
      <c r="C125" s="13">
        <f t="shared" si="1"/>
        <v>1782.9600124999999</v>
      </c>
    </row>
    <row r="126" spans="1:3" x14ac:dyDescent="0.25">
      <c r="A126" s="11" t="s">
        <v>436</v>
      </c>
      <c r="B126" s="12">
        <f>SUMIF('Cleaned Data'!$C$2:$C$320,A126,'Cleaned Data'!$G$2:$G$320)</f>
        <v>154.26999999999998</v>
      </c>
      <c r="C126" s="13">
        <f t="shared" si="1"/>
        <v>154.27001259999997</v>
      </c>
    </row>
    <row r="127" spans="1:3" x14ac:dyDescent="0.25">
      <c r="A127" s="11" t="s">
        <v>207</v>
      </c>
      <c r="B127" s="12">
        <f>SUMIF('Cleaned Data'!$C$2:$C$320,A127,'Cleaned Data'!$G$2:$G$320)</f>
        <v>221.08</v>
      </c>
      <c r="C127" s="13">
        <f t="shared" si="1"/>
        <v>221.08001270000003</v>
      </c>
    </row>
    <row r="128" spans="1:3" x14ac:dyDescent="0.25">
      <c r="A128" s="11" t="s">
        <v>165</v>
      </c>
      <c r="B128" s="12">
        <f>SUMIF('Cleaned Data'!$C$2:$C$320,A128,'Cleaned Data'!$G$2:$G$320)</f>
        <v>1245.55</v>
      </c>
      <c r="C128" s="13">
        <f t="shared" si="1"/>
        <v>1245.5500127999999</v>
      </c>
    </row>
    <row r="129" spans="1:3" x14ac:dyDescent="0.25">
      <c r="A129" s="11" t="s">
        <v>298</v>
      </c>
      <c r="B129" s="12">
        <f>SUMIF('Cleaned Data'!$C$2:$C$320,A129,'Cleaned Data'!$G$2:$G$320)</f>
        <v>576.97</v>
      </c>
      <c r="C129" s="13">
        <f t="shared" si="1"/>
        <v>576.97001290000003</v>
      </c>
    </row>
    <row r="130" spans="1:3" x14ac:dyDescent="0.25">
      <c r="A130" s="11" t="s">
        <v>390</v>
      </c>
      <c r="B130" s="12">
        <f>SUMIF('Cleaned Data'!$C$2:$C$320,A130,'Cleaned Data'!$G$2:$G$320)</f>
        <v>63.33</v>
      </c>
      <c r="C130" s="13">
        <f t="shared" si="1"/>
        <v>63.330013000000001</v>
      </c>
    </row>
    <row r="131" spans="1:3" x14ac:dyDescent="0.25">
      <c r="A131" s="11" t="s">
        <v>213</v>
      </c>
      <c r="B131" s="12">
        <f>SUMIF('Cleaned Data'!$C$2:$C$320,A131,'Cleaned Data'!$G$2:$G$320)</f>
        <v>742.13</v>
      </c>
      <c r="C131" s="13">
        <f t="shared" si="1"/>
        <v>742.13001310000004</v>
      </c>
    </row>
    <row r="132" spans="1:3" x14ac:dyDescent="0.25">
      <c r="A132" s="11" t="s">
        <v>26</v>
      </c>
      <c r="B132" s="12">
        <f>SUMIF('Cleaned Data'!$C$2:$C$320,A132,'Cleaned Data'!$G$2:$G$320)</f>
        <v>5264.59</v>
      </c>
      <c r="C132" s="13">
        <f t="shared" ref="C132:C195" si="2">B132+ROW()/10000000</f>
        <v>5264.5900131999997</v>
      </c>
    </row>
    <row r="133" spans="1:3" x14ac:dyDescent="0.25">
      <c r="A133" s="11" t="s">
        <v>463</v>
      </c>
      <c r="B133" s="12">
        <f>SUMIF('Cleaned Data'!$C$2:$C$320,A133,'Cleaned Data'!$G$2:$G$320)</f>
        <v>3264.7</v>
      </c>
      <c r="C133" s="13">
        <f t="shared" si="2"/>
        <v>3264.7000132999997</v>
      </c>
    </row>
    <row r="134" spans="1:3" x14ac:dyDescent="0.25">
      <c r="A134" s="11" t="s">
        <v>200</v>
      </c>
      <c r="B134" s="12">
        <f>SUMIF('Cleaned Data'!$C$2:$C$320,A134,'Cleaned Data'!$G$2:$G$320)</f>
        <v>309.26</v>
      </c>
      <c r="C134" s="13">
        <f t="shared" si="2"/>
        <v>309.26001339999999</v>
      </c>
    </row>
    <row r="135" spans="1:3" x14ac:dyDescent="0.25">
      <c r="A135" s="11" t="s">
        <v>239</v>
      </c>
      <c r="B135" s="12">
        <f>SUMIF('Cleaned Data'!$C$2:$C$320,A135,'Cleaned Data'!$G$2:$G$320)</f>
        <v>101.99</v>
      </c>
      <c r="C135" s="13">
        <f t="shared" si="2"/>
        <v>101.99001349999999</v>
      </c>
    </row>
    <row r="136" spans="1:3" x14ac:dyDescent="0.25">
      <c r="A136" s="11" t="s">
        <v>296</v>
      </c>
      <c r="B136" s="12">
        <f>SUMIF('Cleaned Data'!$C$2:$C$320,A136,'Cleaned Data'!$G$2:$G$320)</f>
        <v>1189</v>
      </c>
      <c r="C136" s="13">
        <f t="shared" si="2"/>
        <v>1189.0000136000001</v>
      </c>
    </row>
    <row r="137" spans="1:3" x14ac:dyDescent="0.25">
      <c r="A137" s="11" t="s">
        <v>202</v>
      </c>
      <c r="B137" s="12">
        <f>SUMIF('Cleaned Data'!$C$2:$C$320,A137,'Cleaned Data'!$G$2:$G$320)</f>
        <v>1316.66</v>
      </c>
      <c r="C137" s="13">
        <f t="shared" si="2"/>
        <v>1316.6600137</v>
      </c>
    </row>
    <row r="138" spans="1:3" x14ac:dyDescent="0.25">
      <c r="A138" s="11" t="s">
        <v>518</v>
      </c>
      <c r="B138" s="12">
        <f>SUMIF('Cleaned Data'!$C$2:$C$320,A138,'Cleaned Data'!$G$2:$G$320)</f>
        <v>57.61</v>
      </c>
      <c r="C138" s="13">
        <f t="shared" si="2"/>
        <v>57.610013799999997</v>
      </c>
    </row>
    <row r="139" spans="1:3" x14ac:dyDescent="0.25">
      <c r="A139" s="11" t="s">
        <v>273</v>
      </c>
      <c r="B139" s="12">
        <f>SUMIF('Cleaned Data'!$C$2:$C$320,A139,'Cleaned Data'!$G$2:$G$320)</f>
        <v>2676.4</v>
      </c>
      <c r="C139" s="13">
        <f t="shared" si="2"/>
        <v>2676.4000139</v>
      </c>
    </row>
    <row r="140" spans="1:3" x14ac:dyDescent="0.25">
      <c r="A140" s="11" t="s">
        <v>481</v>
      </c>
      <c r="B140" s="12">
        <f>SUMIF('Cleaned Data'!$C$2:$C$320,A140,'Cleaned Data'!$G$2:$G$320)</f>
        <v>31.92</v>
      </c>
      <c r="C140" s="13">
        <f t="shared" si="2"/>
        <v>31.920014000000002</v>
      </c>
    </row>
    <row r="141" spans="1:3" x14ac:dyDescent="0.25">
      <c r="A141" s="11" t="s">
        <v>242</v>
      </c>
      <c r="B141" s="12">
        <f>SUMIF('Cleaned Data'!$C$2:$C$320,A141,'Cleaned Data'!$G$2:$G$320)</f>
        <v>364.68</v>
      </c>
      <c r="C141" s="13">
        <f t="shared" si="2"/>
        <v>364.68001409999999</v>
      </c>
    </row>
    <row r="142" spans="1:3" x14ac:dyDescent="0.25">
      <c r="A142" s="11" t="s">
        <v>495</v>
      </c>
      <c r="B142" s="12">
        <f>SUMIF('Cleaned Data'!$C$2:$C$320,A142,'Cleaned Data'!$G$2:$G$320)</f>
        <v>515.63</v>
      </c>
      <c r="C142" s="13">
        <f t="shared" si="2"/>
        <v>515.63001420000001</v>
      </c>
    </row>
    <row r="143" spans="1:3" x14ac:dyDescent="0.25">
      <c r="A143" s="11" t="s">
        <v>257</v>
      </c>
      <c r="B143" s="12">
        <f>SUMIF('Cleaned Data'!$C$2:$C$320,A143,'Cleaned Data'!$G$2:$G$320)</f>
        <v>105.46</v>
      </c>
      <c r="C143" s="13">
        <f t="shared" si="2"/>
        <v>105.4600143</v>
      </c>
    </row>
    <row r="144" spans="1:3" x14ac:dyDescent="0.25">
      <c r="A144" s="11" t="s">
        <v>401</v>
      </c>
      <c r="B144" s="12">
        <f>SUMIF('Cleaned Data'!$C$2:$C$320,A144,'Cleaned Data'!$G$2:$G$320)</f>
        <v>105.04</v>
      </c>
      <c r="C144" s="13">
        <f t="shared" si="2"/>
        <v>105.0400144</v>
      </c>
    </row>
    <row r="145" spans="1:3" x14ac:dyDescent="0.25">
      <c r="A145" s="11" t="s">
        <v>167</v>
      </c>
      <c r="B145" s="12">
        <f>SUMIF('Cleaned Data'!$C$2:$C$320,A145,'Cleaned Data'!$G$2:$G$320)</f>
        <v>1208.1300000000001</v>
      </c>
      <c r="C145" s="13">
        <f t="shared" si="2"/>
        <v>1208.1300145</v>
      </c>
    </row>
    <row r="146" spans="1:3" x14ac:dyDescent="0.25">
      <c r="A146" s="11" t="s">
        <v>333</v>
      </c>
      <c r="B146" s="12">
        <f>SUMIF('Cleaned Data'!$C$2:$C$320,A146,'Cleaned Data'!$G$2:$G$320)</f>
        <v>1195.28</v>
      </c>
      <c r="C146" s="13">
        <f t="shared" si="2"/>
        <v>1195.2800146</v>
      </c>
    </row>
    <row r="147" spans="1:3" x14ac:dyDescent="0.25">
      <c r="A147" s="11" t="s">
        <v>526</v>
      </c>
      <c r="B147" s="12">
        <f>SUMIF('Cleaned Data'!$C$2:$C$320,A147,'Cleaned Data'!$G$2:$G$320)</f>
        <v>545.82000000000005</v>
      </c>
      <c r="C147" s="13">
        <f t="shared" si="2"/>
        <v>545.8200147</v>
      </c>
    </row>
    <row r="148" spans="1:3" x14ac:dyDescent="0.25">
      <c r="A148" s="11" t="s">
        <v>222</v>
      </c>
      <c r="B148" s="12">
        <f>SUMIF('Cleaned Data'!$C$2:$C$320,A148,'Cleaned Data'!$G$2:$G$320)</f>
        <v>864.56</v>
      </c>
      <c r="C148" s="13">
        <f t="shared" si="2"/>
        <v>864.56001479999998</v>
      </c>
    </row>
    <row r="149" spans="1:3" x14ac:dyDescent="0.25">
      <c r="A149" s="11" t="s">
        <v>514</v>
      </c>
      <c r="B149" s="12">
        <f>SUMIF('Cleaned Data'!$C$2:$C$320,A149,'Cleaned Data'!$G$2:$G$320)</f>
        <v>40.71</v>
      </c>
      <c r="C149" s="13">
        <f t="shared" si="2"/>
        <v>40.710014899999997</v>
      </c>
    </row>
    <row r="150" spans="1:3" x14ac:dyDescent="0.25">
      <c r="A150" s="11" t="s">
        <v>204</v>
      </c>
      <c r="B150" s="12">
        <f>SUMIF('Cleaned Data'!$C$2:$C$320,A150,'Cleaned Data'!$G$2:$G$320)</f>
        <v>3489.0699999999997</v>
      </c>
      <c r="C150" s="13">
        <f t="shared" si="2"/>
        <v>3489.0700149999998</v>
      </c>
    </row>
    <row r="151" spans="1:3" x14ac:dyDescent="0.25">
      <c r="A151" s="11" t="s">
        <v>246</v>
      </c>
      <c r="B151" s="12">
        <f>SUMIF('Cleaned Data'!$C$2:$C$320,A151,'Cleaned Data'!$G$2:$G$320)</f>
        <v>13.37</v>
      </c>
      <c r="C151" s="13">
        <f t="shared" si="2"/>
        <v>13.3700151</v>
      </c>
    </row>
    <row r="152" spans="1:3" x14ac:dyDescent="0.25">
      <c r="A152" s="11" t="s">
        <v>479</v>
      </c>
      <c r="B152" s="12">
        <f>SUMIF('Cleaned Data'!$C$2:$C$320,A152,'Cleaned Data'!$G$2:$G$320)</f>
        <v>463.61</v>
      </c>
      <c r="C152" s="13">
        <f t="shared" si="2"/>
        <v>463.61001520000002</v>
      </c>
    </row>
    <row r="153" spans="1:3" x14ac:dyDescent="0.25">
      <c r="A153" s="11" t="s">
        <v>48</v>
      </c>
      <c r="B153" s="12">
        <f>SUMIF('Cleaned Data'!$C$2:$C$320,A153,'Cleaned Data'!$G$2:$G$320)</f>
        <v>163.44</v>
      </c>
      <c r="C153" s="13">
        <f t="shared" si="2"/>
        <v>163.4400153</v>
      </c>
    </row>
    <row r="154" spans="1:3" x14ac:dyDescent="0.25">
      <c r="A154" s="11" t="s">
        <v>345</v>
      </c>
      <c r="B154" s="12">
        <f>SUMIF('Cleaned Data'!$C$2:$C$320,A154,'Cleaned Data'!$G$2:$G$320)</f>
        <v>2095.29</v>
      </c>
      <c r="C154" s="13">
        <f t="shared" si="2"/>
        <v>2095.2900153999999</v>
      </c>
    </row>
    <row r="155" spans="1:3" x14ac:dyDescent="0.25">
      <c r="A155" s="11" t="s">
        <v>185</v>
      </c>
      <c r="B155" s="12">
        <f>SUMIF('Cleaned Data'!$C$2:$C$320,A155,'Cleaned Data'!$G$2:$G$320)</f>
        <v>207.3</v>
      </c>
      <c r="C155" s="13">
        <f t="shared" si="2"/>
        <v>207.3000155</v>
      </c>
    </row>
    <row r="156" spans="1:3" x14ac:dyDescent="0.25">
      <c r="A156" s="11" t="s">
        <v>75</v>
      </c>
      <c r="B156" s="12">
        <f>SUMIF('Cleaned Data'!$C$2:$C$320,A156,'Cleaned Data'!$G$2:$G$320)</f>
        <v>3676.52</v>
      </c>
      <c r="C156" s="13">
        <f t="shared" si="2"/>
        <v>3676.5200156000001</v>
      </c>
    </row>
    <row r="157" spans="1:3" x14ac:dyDescent="0.25">
      <c r="A157" s="11" t="s">
        <v>395</v>
      </c>
      <c r="B157" s="12">
        <f>SUMIF('Cleaned Data'!$C$2:$C$320,A157,'Cleaned Data'!$G$2:$G$320)</f>
        <v>21.07</v>
      </c>
      <c r="C157" s="13">
        <f t="shared" si="2"/>
        <v>21.070015699999999</v>
      </c>
    </row>
    <row r="158" spans="1:3" x14ac:dyDescent="0.25">
      <c r="A158" s="11" t="s">
        <v>82</v>
      </c>
      <c r="B158" s="12">
        <f>SUMIF('Cleaned Data'!$C$2:$C$320,A158,'Cleaned Data'!$G$2:$G$320)</f>
        <v>120.38</v>
      </c>
      <c r="C158" s="13">
        <f t="shared" si="2"/>
        <v>120.3800158</v>
      </c>
    </row>
    <row r="159" spans="1:3" x14ac:dyDescent="0.25">
      <c r="A159" s="11" t="s">
        <v>179</v>
      </c>
      <c r="B159" s="12">
        <f>SUMIF('Cleaned Data'!$C$2:$C$320,A159,'Cleaned Data'!$G$2:$G$320)</f>
        <v>1739.9</v>
      </c>
      <c r="C159" s="13">
        <f t="shared" si="2"/>
        <v>1739.9000159000002</v>
      </c>
    </row>
    <row r="160" spans="1:3" x14ac:dyDescent="0.25">
      <c r="A160" s="11" t="s">
        <v>147</v>
      </c>
      <c r="B160" s="12">
        <f>SUMIF('Cleaned Data'!$C$2:$C$320,A160,'Cleaned Data'!$G$2:$G$320)</f>
        <v>4271.68</v>
      </c>
      <c r="C160" s="13">
        <f t="shared" si="2"/>
        <v>4271.6800160000003</v>
      </c>
    </row>
    <row r="161" spans="1:3" x14ac:dyDescent="0.25">
      <c r="A161" s="11" t="s">
        <v>111</v>
      </c>
      <c r="B161" s="12">
        <f>SUMIF('Cleaned Data'!$C$2:$C$320,A161,'Cleaned Data'!$G$2:$G$320)</f>
        <v>543.41</v>
      </c>
      <c r="C161" s="13">
        <f t="shared" si="2"/>
        <v>543.41001610000001</v>
      </c>
    </row>
    <row r="162" spans="1:3" x14ac:dyDescent="0.25">
      <c r="A162" s="11" t="s">
        <v>363</v>
      </c>
      <c r="B162" s="12">
        <f>SUMIF('Cleaned Data'!$C$2:$C$320,A162,'Cleaned Data'!$G$2:$G$320)</f>
        <v>17.12</v>
      </c>
      <c r="C162" s="13">
        <f t="shared" si="2"/>
        <v>17.120016200000002</v>
      </c>
    </row>
    <row r="163" spans="1:3" x14ac:dyDescent="0.25">
      <c r="A163" s="11" t="s">
        <v>61</v>
      </c>
      <c r="B163" s="12">
        <f>SUMIF('Cleaned Data'!$C$2:$C$320,A163,'Cleaned Data'!$G$2:$G$320)</f>
        <v>176.23</v>
      </c>
      <c r="C163" s="13">
        <f t="shared" si="2"/>
        <v>176.23001629999999</v>
      </c>
    </row>
    <row r="164" spans="1:3" x14ac:dyDescent="0.25">
      <c r="A164" s="11" t="s">
        <v>324</v>
      </c>
      <c r="B164" s="12">
        <f>SUMIF('Cleaned Data'!$C$2:$C$320,A164,'Cleaned Data'!$G$2:$G$320)</f>
        <v>240.85</v>
      </c>
      <c r="C164" s="13">
        <f t="shared" si="2"/>
        <v>240.85001639999999</v>
      </c>
    </row>
    <row r="165" spans="1:3" x14ac:dyDescent="0.25">
      <c r="A165" s="11" t="s">
        <v>161</v>
      </c>
      <c r="B165" s="12">
        <f>SUMIF('Cleaned Data'!$C$2:$C$320,A165,'Cleaned Data'!$G$2:$G$320)</f>
        <v>2382.64</v>
      </c>
      <c r="C165" s="13">
        <f t="shared" si="2"/>
        <v>2382.6400165</v>
      </c>
    </row>
    <row r="166" spans="1:3" x14ac:dyDescent="0.25">
      <c r="A166" s="11" t="s">
        <v>439</v>
      </c>
      <c r="B166" s="12">
        <f>SUMIF('Cleaned Data'!$C$2:$C$320,A166,'Cleaned Data'!$G$2:$G$320)</f>
        <v>713.28</v>
      </c>
      <c r="C166" s="13">
        <f t="shared" si="2"/>
        <v>713.28001659999995</v>
      </c>
    </row>
    <row r="167" spans="1:3" x14ac:dyDescent="0.25">
      <c r="A167" s="11" t="s">
        <v>522</v>
      </c>
      <c r="B167" s="12">
        <f>SUMIF('Cleaned Data'!$C$2:$C$320,A167,'Cleaned Data'!$G$2:$G$320)</f>
        <v>927.61000000000013</v>
      </c>
      <c r="C167" s="13">
        <f t="shared" si="2"/>
        <v>927.61001670000007</v>
      </c>
    </row>
    <row r="168" spans="1:3" x14ac:dyDescent="0.25">
      <c r="A168" s="11" t="s">
        <v>280</v>
      </c>
      <c r="B168" s="12">
        <f>SUMIF('Cleaned Data'!$C$2:$C$320,A168,'Cleaned Data'!$G$2:$G$320)</f>
        <v>2169.65</v>
      </c>
      <c r="C168" s="13">
        <f t="shared" si="2"/>
        <v>2169.6500168000002</v>
      </c>
    </row>
    <row r="169" spans="1:3" x14ac:dyDescent="0.25">
      <c r="A169" s="11" t="s">
        <v>135</v>
      </c>
      <c r="B169" s="12">
        <f>SUMIF('Cleaned Data'!$C$2:$C$320,A169,'Cleaned Data'!$G$2:$G$320)</f>
        <v>222.63</v>
      </c>
      <c r="C169" s="13">
        <f t="shared" si="2"/>
        <v>222.63001689999999</v>
      </c>
    </row>
    <row r="170" spans="1:3" x14ac:dyDescent="0.25">
      <c r="A170" s="11" t="s">
        <v>278</v>
      </c>
      <c r="B170" s="12">
        <f>SUMIF('Cleaned Data'!$C$2:$C$320,A170,'Cleaned Data'!$G$2:$G$320)</f>
        <v>392.41</v>
      </c>
      <c r="C170" s="13">
        <f t="shared" si="2"/>
        <v>392.41001700000004</v>
      </c>
    </row>
    <row r="171" spans="1:3" x14ac:dyDescent="0.25">
      <c r="A171" s="11" t="s">
        <v>79</v>
      </c>
      <c r="B171" s="12">
        <f>SUMIF('Cleaned Data'!$C$2:$C$320,A171,'Cleaned Data'!$G$2:$G$320)</f>
        <v>1682.86</v>
      </c>
      <c r="C171" s="13">
        <f t="shared" si="2"/>
        <v>1682.8600170999998</v>
      </c>
    </row>
    <row r="172" spans="1:3" x14ac:dyDescent="0.25">
      <c r="A172" s="11" t="s">
        <v>120</v>
      </c>
      <c r="B172" s="12">
        <f>SUMIF('Cleaned Data'!$C$2:$C$320,A172,'Cleaned Data'!$G$2:$G$320)</f>
        <v>1116.25</v>
      </c>
      <c r="C172" s="13">
        <f t="shared" si="2"/>
        <v>1116.2500172</v>
      </c>
    </row>
    <row r="173" spans="1:3" x14ac:dyDescent="0.25">
      <c r="A173" s="11" t="s">
        <v>118</v>
      </c>
      <c r="B173" s="12">
        <f>SUMIF('Cleaned Data'!$C$2:$C$320,A173,'Cleaned Data'!$G$2:$G$320)</f>
        <v>1591.13</v>
      </c>
      <c r="C173" s="13">
        <f t="shared" si="2"/>
        <v>1591.1300173000002</v>
      </c>
    </row>
    <row r="174" spans="1:3" x14ac:dyDescent="0.25">
      <c r="A174" s="11" t="s">
        <v>302</v>
      </c>
      <c r="B174" s="12">
        <f>SUMIF('Cleaned Data'!$C$2:$C$320,A174,'Cleaned Data'!$G$2:$G$320)</f>
        <v>1324.36</v>
      </c>
      <c r="C174" s="13">
        <f t="shared" si="2"/>
        <v>1324.3600173999998</v>
      </c>
    </row>
    <row r="175" spans="1:3" x14ac:dyDescent="0.25">
      <c r="A175" s="11" t="s">
        <v>275</v>
      </c>
      <c r="B175" s="12">
        <f>SUMIF('Cleaned Data'!$C$2:$C$320,A175,'Cleaned Data'!$G$2:$G$320)</f>
        <v>1972.5700000000002</v>
      </c>
      <c r="C175" s="13">
        <f t="shared" si="2"/>
        <v>1972.5700175000002</v>
      </c>
    </row>
    <row r="176" spans="1:3" x14ac:dyDescent="0.25">
      <c r="A176" s="11" t="s">
        <v>373</v>
      </c>
      <c r="B176" s="12">
        <f>SUMIF('Cleaned Data'!$C$2:$C$320,A176,'Cleaned Data'!$G$2:$G$320)</f>
        <v>1301.17</v>
      </c>
      <c r="C176" s="13">
        <f t="shared" si="2"/>
        <v>1301.1700176000002</v>
      </c>
    </row>
    <row r="177" spans="1:3" x14ac:dyDescent="0.25">
      <c r="A177" s="11" t="s">
        <v>556</v>
      </c>
      <c r="B177" s="12">
        <f>SUMIF('Cleaned Data'!$C$2:$C$320,A177,'Cleaned Data'!$G$2:$G$320)</f>
        <v>1360.24</v>
      </c>
      <c r="C177" s="13">
        <f t="shared" si="2"/>
        <v>1360.2400177</v>
      </c>
    </row>
    <row r="178" spans="1:3" x14ac:dyDescent="0.25">
      <c r="A178" s="11" t="s">
        <v>269</v>
      </c>
      <c r="B178" s="12">
        <f>SUMIF('Cleaned Data'!$C$2:$C$320,A178,'Cleaned Data'!$G$2:$G$320)</f>
        <v>486.69</v>
      </c>
      <c r="C178" s="13">
        <f t="shared" si="2"/>
        <v>486.69001780000002</v>
      </c>
    </row>
    <row r="179" spans="1:3" x14ac:dyDescent="0.25">
      <c r="A179" s="11" t="s">
        <v>354</v>
      </c>
      <c r="B179" s="12">
        <f>SUMIF('Cleaned Data'!$C$2:$C$320,A179,'Cleaned Data'!$G$2:$G$320)</f>
        <v>1727.16</v>
      </c>
      <c r="C179" s="13">
        <f t="shared" si="2"/>
        <v>1727.1600179000002</v>
      </c>
    </row>
    <row r="180" spans="1:3" x14ac:dyDescent="0.25">
      <c r="A180" s="11" t="s">
        <v>227</v>
      </c>
      <c r="B180" s="12">
        <f>SUMIF('Cleaned Data'!$C$2:$C$320,A180,'Cleaned Data'!$G$2:$G$320)</f>
        <v>838.18999999999994</v>
      </c>
      <c r="C180" s="13">
        <f t="shared" si="2"/>
        <v>838.1900179999999</v>
      </c>
    </row>
    <row r="181" spans="1:3" x14ac:dyDescent="0.25">
      <c r="A181" s="11" t="s">
        <v>122</v>
      </c>
      <c r="B181" s="12">
        <f>SUMIF('Cleaned Data'!$C$2:$C$320,A181,'Cleaned Data'!$G$2:$G$320)</f>
        <v>309.49</v>
      </c>
      <c r="C181" s="13">
        <f t="shared" si="2"/>
        <v>309.49001809999999</v>
      </c>
    </row>
    <row r="182" spans="1:3" x14ac:dyDescent="0.25">
      <c r="A182" s="11" t="s">
        <v>237</v>
      </c>
      <c r="B182" s="12">
        <f>SUMIF('Cleaned Data'!$C$2:$C$320,A182,'Cleaned Data'!$G$2:$G$320)</f>
        <v>68.430000000000007</v>
      </c>
      <c r="C182" s="13">
        <f t="shared" si="2"/>
        <v>68.430018200000006</v>
      </c>
    </row>
    <row r="183" spans="1:3" x14ac:dyDescent="0.25">
      <c r="A183" s="11" t="s">
        <v>11</v>
      </c>
      <c r="B183" s="12">
        <f>SUMIF('Cleaned Data'!$C$2:$C$320,A183,'Cleaned Data'!$G$2:$G$320)</f>
        <v>679.75</v>
      </c>
      <c r="C183" s="13">
        <f t="shared" si="2"/>
        <v>679.75001829999997</v>
      </c>
    </row>
    <row r="184" spans="1:3" x14ac:dyDescent="0.25">
      <c r="A184" s="11" t="s">
        <v>287</v>
      </c>
      <c r="B184" s="12">
        <f>SUMIF('Cleaned Data'!$C$2:$C$320,A184,'Cleaned Data'!$G$2:$G$320)</f>
        <v>2465.9</v>
      </c>
      <c r="C184" s="13">
        <f t="shared" si="2"/>
        <v>2465.9000184000001</v>
      </c>
    </row>
    <row r="185" spans="1:3" x14ac:dyDescent="0.25">
      <c r="A185" s="11" t="s">
        <v>94</v>
      </c>
      <c r="B185" s="12">
        <f>SUMIF('Cleaned Data'!$C$2:$C$320,A185,'Cleaned Data'!$G$2:$G$320)</f>
        <v>2412.7600000000002</v>
      </c>
      <c r="C185" s="13">
        <f t="shared" si="2"/>
        <v>2412.7600185000001</v>
      </c>
    </row>
    <row r="186" spans="1:3" x14ac:dyDescent="0.25">
      <c r="A186" s="11" t="s">
        <v>229</v>
      </c>
      <c r="B186" s="12">
        <f>SUMIF('Cleaned Data'!$C$2:$C$320,A186,'Cleaned Data'!$G$2:$G$320)</f>
        <v>30.55</v>
      </c>
      <c r="C186" s="13">
        <f t="shared" si="2"/>
        <v>30.550018600000001</v>
      </c>
    </row>
    <row r="187" spans="1:3" x14ac:dyDescent="0.25">
      <c r="A187" s="11" t="s">
        <v>565</v>
      </c>
      <c r="B187" s="12">
        <f>SUMIF('Cleaned Data'!$C$2:$C$320,A187,'Cleaned Data'!$G$2:$G$320)</f>
        <v>1424.82</v>
      </c>
      <c r="C187" s="13">
        <f t="shared" si="2"/>
        <v>1424.8200187</v>
      </c>
    </row>
    <row r="188" spans="1:3" x14ac:dyDescent="0.25">
      <c r="A188" s="11" t="s">
        <v>506</v>
      </c>
      <c r="B188" s="12">
        <f>SUMIF('Cleaned Data'!$C$2:$C$320,A188,'Cleaned Data'!$G$2:$G$320)</f>
        <v>407</v>
      </c>
      <c r="C188" s="13">
        <f t="shared" si="2"/>
        <v>407.00001880000002</v>
      </c>
    </row>
    <row r="189" spans="1:3" x14ac:dyDescent="0.25">
      <c r="A189" s="11" t="s">
        <v>143</v>
      </c>
      <c r="B189" s="12">
        <f>SUMIF('Cleaned Data'!$C$2:$C$320,A189,'Cleaned Data'!$G$2:$G$320)</f>
        <v>2820.34</v>
      </c>
      <c r="C189" s="13">
        <f t="shared" si="2"/>
        <v>2820.3400189000004</v>
      </c>
    </row>
    <row r="190" spans="1:3" x14ac:dyDescent="0.25">
      <c r="A190" s="11" t="s">
        <v>271</v>
      </c>
      <c r="B190" s="12">
        <f>SUMIF('Cleaned Data'!$C$2:$C$320,A190,'Cleaned Data'!$G$2:$G$320)</f>
        <v>258.14999999999998</v>
      </c>
      <c r="C190" s="13">
        <f t="shared" si="2"/>
        <v>258.15001899999999</v>
      </c>
    </row>
    <row r="191" spans="1:3" x14ac:dyDescent="0.25">
      <c r="A191" s="11" t="s">
        <v>34</v>
      </c>
      <c r="B191" s="12">
        <f>SUMIF('Cleaned Data'!$C$2:$C$320,A191,'Cleaned Data'!$G$2:$G$320)</f>
        <v>1838.46</v>
      </c>
      <c r="C191" s="13">
        <f t="shared" si="2"/>
        <v>1838.4600191</v>
      </c>
    </row>
    <row r="192" spans="1:3" x14ac:dyDescent="0.25">
      <c r="A192" s="11" t="s">
        <v>153</v>
      </c>
      <c r="B192" s="12">
        <f>SUMIF('Cleaned Data'!$C$2:$C$320,A192,'Cleaned Data'!$G$2:$G$320)</f>
        <v>740.97</v>
      </c>
      <c r="C192" s="13">
        <f t="shared" si="2"/>
        <v>740.97001920000002</v>
      </c>
    </row>
    <row r="193" spans="1:3" x14ac:dyDescent="0.25">
      <c r="A193" s="11" t="s">
        <v>369</v>
      </c>
      <c r="B193" s="12">
        <f>SUMIF('Cleaned Data'!$C$2:$C$320,A193,'Cleaned Data'!$G$2:$G$320)</f>
        <v>265.25</v>
      </c>
      <c r="C193" s="13">
        <f t="shared" si="2"/>
        <v>265.25001930000002</v>
      </c>
    </row>
    <row r="194" spans="1:3" x14ac:dyDescent="0.25">
      <c r="A194" s="11" t="s">
        <v>169</v>
      </c>
      <c r="B194" s="12">
        <f>SUMIF('Cleaned Data'!$C$2:$C$320,A194,'Cleaned Data'!$G$2:$G$320)</f>
        <v>1350.92</v>
      </c>
      <c r="C194" s="13">
        <f t="shared" si="2"/>
        <v>1350.9200194</v>
      </c>
    </row>
    <row r="195" spans="1:3" x14ac:dyDescent="0.25">
      <c r="A195" s="11" t="s">
        <v>248</v>
      </c>
      <c r="B195" s="12">
        <f>SUMIF('Cleaned Data'!$C$2:$C$320,A195,'Cleaned Data'!$G$2:$G$320)</f>
        <v>1064.07</v>
      </c>
      <c r="C195" s="13">
        <f t="shared" si="2"/>
        <v>1064.0700194999999</v>
      </c>
    </row>
    <row r="196" spans="1:3" x14ac:dyDescent="0.25">
      <c r="A196" s="11" t="s">
        <v>267</v>
      </c>
      <c r="B196" s="12">
        <f>SUMIF('Cleaned Data'!$C$2:$C$320,A196,'Cleaned Data'!$G$2:$G$320)</f>
        <v>1384.36</v>
      </c>
      <c r="C196" s="13">
        <f t="shared" ref="C196:C227" si="3">B196+ROW()/10000000</f>
        <v>1384.3600196</v>
      </c>
    </row>
    <row r="197" spans="1:3" x14ac:dyDescent="0.25">
      <c r="A197" s="11" t="s">
        <v>441</v>
      </c>
      <c r="B197" s="12">
        <f>SUMIF('Cleaned Data'!$C$2:$C$320,A197,'Cleaned Data'!$G$2:$G$320)</f>
        <v>3338.7</v>
      </c>
      <c r="C197" s="13">
        <f t="shared" si="3"/>
        <v>3338.7000196999998</v>
      </c>
    </row>
    <row r="198" spans="1:3" x14ac:dyDescent="0.25">
      <c r="A198" s="11" t="s">
        <v>22</v>
      </c>
      <c r="B198" s="12">
        <f>SUMIF('Cleaned Data'!$C$2:$C$320,A198,'Cleaned Data'!$G$2:$G$320)</f>
        <v>673.99</v>
      </c>
      <c r="C198" s="13">
        <f t="shared" si="3"/>
        <v>673.99001980000003</v>
      </c>
    </row>
    <row r="199" spans="1:3" x14ac:dyDescent="0.25">
      <c r="A199" s="11" t="s">
        <v>209</v>
      </c>
      <c r="B199" s="12">
        <f>SUMIF('Cleaned Data'!$C$2:$C$320,A199,'Cleaned Data'!$G$2:$G$320)</f>
        <v>2581.4699999999998</v>
      </c>
      <c r="C199" s="13">
        <f t="shared" si="3"/>
        <v>2581.4700198999999</v>
      </c>
    </row>
    <row r="200" spans="1:3" x14ac:dyDescent="0.25">
      <c r="A200" s="11" t="s">
        <v>131</v>
      </c>
      <c r="B200" s="12">
        <f>SUMIF('Cleaned Data'!$C$2:$C$320,A200,'Cleaned Data'!$G$2:$G$320)</f>
        <v>2280.9700000000003</v>
      </c>
      <c r="C200" s="13">
        <f t="shared" si="3"/>
        <v>2280.9700200000002</v>
      </c>
    </row>
    <row r="201" spans="1:3" x14ac:dyDescent="0.25">
      <c r="A201" s="11" t="s">
        <v>177</v>
      </c>
      <c r="B201" s="12">
        <f>SUMIF('Cleaned Data'!$C$2:$C$320,A201,'Cleaned Data'!$G$2:$G$320)</f>
        <v>3563.51</v>
      </c>
      <c r="C201" s="13">
        <f t="shared" si="3"/>
        <v>3563.5100201</v>
      </c>
    </row>
    <row r="202" spans="1:3" x14ac:dyDescent="0.25">
      <c r="A202" s="11" t="s">
        <v>197</v>
      </c>
      <c r="B202" s="12">
        <f>SUMIF('Cleaned Data'!$C$2:$C$320,A202,'Cleaned Data'!$G$2:$G$320)</f>
        <v>436.48</v>
      </c>
      <c r="C202" s="13">
        <f t="shared" si="3"/>
        <v>436.48002020000001</v>
      </c>
    </row>
    <row r="203" spans="1:3" x14ac:dyDescent="0.25">
      <c r="A203" s="11" t="s">
        <v>300</v>
      </c>
      <c r="B203" s="12">
        <f>SUMIF('Cleaned Data'!$C$2:$C$320,A203,'Cleaned Data'!$G$2:$G$320)</f>
        <v>752.31</v>
      </c>
      <c r="C203" s="13">
        <f t="shared" si="3"/>
        <v>752.31002029999991</v>
      </c>
    </row>
    <row r="204" spans="1:3" x14ac:dyDescent="0.25">
      <c r="A204" s="11" t="s">
        <v>233</v>
      </c>
      <c r="B204" s="12">
        <f>SUMIF('Cleaned Data'!$C$2:$C$320,A204,'Cleaned Data'!$G$2:$G$320)</f>
        <v>191.77</v>
      </c>
      <c r="C204" s="13">
        <f t="shared" si="3"/>
        <v>191.77002040000002</v>
      </c>
    </row>
    <row r="205" spans="1:3" x14ac:dyDescent="0.25">
      <c r="A205" s="11" t="s">
        <v>471</v>
      </c>
      <c r="B205" s="12">
        <f>SUMIF('Cleaned Data'!$C$2:$C$320,A205,'Cleaned Data'!$G$2:$G$320)</f>
        <v>737.13</v>
      </c>
      <c r="C205" s="13">
        <f t="shared" si="3"/>
        <v>737.1300205</v>
      </c>
    </row>
    <row r="206" spans="1:3" x14ac:dyDescent="0.25">
      <c r="A206" s="11" t="s">
        <v>432</v>
      </c>
      <c r="B206" s="12">
        <f>SUMIF('Cleaned Data'!$C$2:$C$320,A206,'Cleaned Data'!$G$2:$G$320)</f>
        <v>3125.15</v>
      </c>
      <c r="C206" s="13">
        <f t="shared" si="3"/>
        <v>3125.1500206000001</v>
      </c>
    </row>
    <row r="207" spans="1:3" x14ac:dyDescent="0.25">
      <c r="A207" s="11" t="s">
        <v>484</v>
      </c>
      <c r="B207" s="12">
        <f>SUMIF('Cleaned Data'!$C$2:$C$320,A207,'Cleaned Data'!$G$2:$G$320)</f>
        <v>623.79999999999995</v>
      </c>
      <c r="C207" s="13">
        <f t="shared" si="3"/>
        <v>623.8000207</v>
      </c>
    </row>
    <row r="208" spans="1:3" x14ac:dyDescent="0.25">
      <c r="A208" s="11" t="s">
        <v>516</v>
      </c>
      <c r="B208" s="12">
        <f>SUMIF('Cleaned Data'!$C$2:$C$320,A208,'Cleaned Data'!$G$2:$G$320)</f>
        <v>259.25</v>
      </c>
      <c r="C208" s="13">
        <f t="shared" si="3"/>
        <v>259.25002080000002</v>
      </c>
    </row>
    <row r="209" spans="1:3" x14ac:dyDescent="0.25">
      <c r="A209" s="11" t="s">
        <v>194</v>
      </c>
      <c r="B209" s="12">
        <f>SUMIF('Cleaned Data'!$C$2:$C$320,A209,'Cleaned Data'!$G$2:$G$320)</f>
        <v>101.31</v>
      </c>
      <c r="C209" s="13">
        <f t="shared" si="3"/>
        <v>101.3100209</v>
      </c>
    </row>
    <row r="210" spans="1:3" x14ac:dyDescent="0.25">
      <c r="A210" s="11" t="s">
        <v>244</v>
      </c>
      <c r="B210" s="12">
        <f>SUMIF('Cleaned Data'!$C$2:$C$320,A210,'Cleaned Data'!$G$2:$G$320)</f>
        <v>482.8</v>
      </c>
      <c r="C210" s="13">
        <f t="shared" si="3"/>
        <v>482.80002100000002</v>
      </c>
    </row>
    <row r="211" spans="1:3" x14ac:dyDescent="0.25">
      <c r="A211" s="11" t="s">
        <v>56</v>
      </c>
      <c r="B211" s="12">
        <f>SUMIF('Cleaned Data'!$C$2:$C$320,A211,'Cleaned Data'!$G$2:$G$320)</f>
        <v>1405.09</v>
      </c>
      <c r="C211" s="13">
        <f t="shared" si="3"/>
        <v>1405.0900210999998</v>
      </c>
    </row>
    <row r="212" spans="1:3" x14ac:dyDescent="0.25">
      <c r="A212" s="11" t="s">
        <v>548</v>
      </c>
      <c r="B212" s="12">
        <f>SUMIF('Cleaned Data'!$C$2:$C$320,A212,'Cleaned Data'!$G$2:$G$320)</f>
        <v>106.2</v>
      </c>
      <c r="C212" s="13">
        <f t="shared" si="3"/>
        <v>106.20002120000001</v>
      </c>
    </row>
    <row r="213" spans="1:3" x14ac:dyDescent="0.25">
      <c r="A213" s="11" t="s">
        <v>63</v>
      </c>
      <c r="B213" s="12">
        <f>SUMIF('Cleaned Data'!$C$2:$C$320,A213,'Cleaned Data'!$G$2:$G$320)</f>
        <v>1464.9499999999998</v>
      </c>
      <c r="C213" s="13">
        <f t="shared" si="3"/>
        <v>1464.9500212999999</v>
      </c>
    </row>
    <row r="214" spans="1:3" x14ac:dyDescent="0.25">
      <c r="A214" s="11" t="s">
        <v>255</v>
      </c>
      <c r="B214" s="12">
        <f>SUMIF('Cleaned Data'!$C$2:$C$320,A214,'Cleaned Data'!$G$2:$G$320)</f>
        <v>120.56</v>
      </c>
      <c r="C214" s="13">
        <f t="shared" si="3"/>
        <v>120.5600214</v>
      </c>
    </row>
    <row r="215" spans="1:3" x14ac:dyDescent="0.25">
      <c r="A215" s="11" t="s">
        <v>77</v>
      </c>
      <c r="B215" s="12">
        <f>SUMIF('Cleaned Data'!$C$2:$C$320,A215,'Cleaned Data'!$G$2:$G$320)</f>
        <v>254.72</v>
      </c>
      <c r="C215" s="13">
        <f t="shared" si="3"/>
        <v>254.7200215</v>
      </c>
    </row>
    <row r="216" spans="1:3" x14ac:dyDescent="0.25">
      <c r="A216" s="11" t="s">
        <v>102</v>
      </c>
      <c r="B216" s="12">
        <f>SUMIF('Cleaned Data'!$C$2:$C$320,A216,'Cleaned Data'!$G$2:$G$320)</f>
        <v>3714.2200000000003</v>
      </c>
      <c r="C216" s="13">
        <f t="shared" si="3"/>
        <v>3714.2200216000001</v>
      </c>
    </row>
    <row r="217" spans="1:3" x14ac:dyDescent="0.25">
      <c r="A217" s="11" t="s">
        <v>85</v>
      </c>
      <c r="B217" s="12">
        <f>SUMIF('Cleaned Data'!$C$2:$C$320,A217,'Cleaned Data'!$G$2:$G$320)</f>
        <v>1090.3900000000001</v>
      </c>
      <c r="C217" s="13">
        <f t="shared" si="3"/>
        <v>1090.3900217</v>
      </c>
    </row>
    <row r="218" spans="1:3" x14ac:dyDescent="0.25">
      <c r="A218" s="11" t="s">
        <v>447</v>
      </c>
      <c r="B218" s="12">
        <f>SUMIF('Cleaned Data'!$C$2:$C$320,A218,'Cleaned Data'!$G$2:$G$320)</f>
        <v>83.51</v>
      </c>
      <c r="C218" s="13">
        <f t="shared" si="3"/>
        <v>83.510021800000004</v>
      </c>
    </row>
    <row r="219" spans="1:3" x14ac:dyDescent="0.25">
      <c r="A219" s="11" t="s">
        <v>326</v>
      </c>
      <c r="B219" s="12">
        <f>SUMIF('Cleaned Data'!$C$2:$C$320,A219,'Cleaned Data'!$G$2:$G$320)</f>
        <v>67.239999999999995</v>
      </c>
      <c r="C219" s="13">
        <f t="shared" si="3"/>
        <v>67.240021899999988</v>
      </c>
    </row>
    <row r="220" spans="1:3" x14ac:dyDescent="0.25">
      <c r="A220" s="11" t="s">
        <v>19</v>
      </c>
      <c r="B220" s="12">
        <f>SUMIF('Cleaned Data'!$C$2:$C$320,A220,'Cleaned Data'!$G$2:$G$320)</f>
        <v>6367.5300000000007</v>
      </c>
      <c r="C220" s="13">
        <f t="shared" si="3"/>
        <v>6367.5300220000008</v>
      </c>
    </row>
    <row r="221" spans="1:3" x14ac:dyDescent="0.25">
      <c r="A221" s="11" t="s">
        <v>417</v>
      </c>
      <c r="B221" s="12">
        <f>SUMIF('Cleaned Data'!$C$2:$C$320,A221,'Cleaned Data'!$G$2:$G$320)</f>
        <v>190.8</v>
      </c>
      <c r="C221" s="13">
        <f t="shared" si="3"/>
        <v>190.80002210000001</v>
      </c>
    </row>
    <row r="222" spans="1:3" x14ac:dyDescent="0.25">
      <c r="A222" s="11" t="s">
        <v>338</v>
      </c>
      <c r="B222" s="12">
        <f>SUMIF('Cleaned Data'!$C$2:$C$320,A222,'Cleaned Data'!$G$2:$G$320)</f>
        <v>35.71</v>
      </c>
      <c r="C222" s="13">
        <f t="shared" si="3"/>
        <v>35.710022199999997</v>
      </c>
    </row>
    <row r="223" spans="1:3" x14ac:dyDescent="0.25">
      <c r="A223" s="11" t="s">
        <v>100</v>
      </c>
      <c r="B223" s="12">
        <f>SUMIF('Cleaned Data'!$C$2:$C$320,A223,'Cleaned Data'!$G$2:$G$320)</f>
        <v>348.05</v>
      </c>
      <c r="C223" s="13">
        <f t="shared" si="3"/>
        <v>348.05002230000002</v>
      </c>
    </row>
    <row r="224" spans="1:3" x14ac:dyDescent="0.25">
      <c r="A224" s="11" t="s">
        <v>263</v>
      </c>
      <c r="B224" s="12">
        <f>SUMIF('Cleaned Data'!$C$2:$C$320,A224,'Cleaned Data'!$G$2:$G$320)</f>
        <v>404.29</v>
      </c>
      <c r="C224" s="13">
        <f t="shared" si="3"/>
        <v>404.2900224</v>
      </c>
    </row>
    <row r="225" spans="1:3" x14ac:dyDescent="0.25">
      <c r="A225" s="11" t="s">
        <v>476</v>
      </c>
      <c r="B225" s="12">
        <f>SUMIF('Cleaned Data'!$C$2:$C$320,A225,'Cleaned Data'!$G$2:$G$320)</f>
        <v>506.11</v>
      </c>
      <c r="C225" s="13">
        <f t="shared" si="3"/>
        <v>506.11002250000001</v>
      </c>
    </row>
    <row r="226" spans="1:3" x14ac:dyDescent="0.25">
      <c r="A226" s="11" t="s">
        <v>124</v>
      </c>
      <c r="B226" s="12">
        <f>SUMIF('Cleaned Data'!$C$2:$C$320,A226,'Cleaned Data'!$G$2:$G$320)</f>
        <v>1132.46</v>
      </c>
      <c r="C226" s="13">
        <f t="shared" si="3"/>
        <v>1132.4600226</v>
      </c>
    </row>
    <row r="227" spans="1:3" x14ac:dyDescent="0.25">
      <c r="A227" s="11" t="s">
        <v>410</v>
      </c>
      <c r="B227" s="12">
        <f>SUMIF('Cleaned Data'!$C$2:$C$320,A227,'Cleaned Data'!$G$2:$G$320)</f>
        <v>1460.9199999999998</v>
      </c>
      <c r="C227" s="13">
        <f t="shared" si="3"/>
        <v>1460.9200226999999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zoomScaleNormal="100" workbookViewId="0">
      <selection activeCell="G19" sqref="G19"/>
    </sheetView>
  </sheetViews>
  <sheetFormatPr defaultColWidth="8.7109375" defaultRowHeight="15" x14ac:dyDescent="0.25"/>
  <cols>
    <col min="1" max="2" width="22" customWidth="1"/>
    <col min="3" max="3" width="16" customWidth="1"/>
  </cols>
  <sheetData>
    <row r="1" spans="1:3" ht="18" x14ac:dyDescent="0.25">
      <c r="A1" s="17" t="s">
        <v>599</v>
      </c>
      <c r="B1" s="18"/>
    </row>
    <row r="3" spans="1:3" x14ac:dyDescent="0.25">
      <c r="A3" s="19" t="s">
        <v>5</v>
      </c>
      <c r="B3" s="19" t="s">
        <v>573</v>
      </c>
      <c r="C3" s="19" t="s">
        <v>596</v>
      </c>
    </row>
    <row r="4" spans="1:3" x14ac:dyDescent="0.25">
      <c r="A4" s="11" t="s">
        <v>39</v>
      </c>
      <c r="B4" s="12">
        <f>SUMIF('Cleaned Data'!$F$2:$F$320,A4,'Cleaned Data'!$G$2:$G$320)</f>
        <v>12889.890000000001</v>
      </c>
      <c r="C4" s="13">
        <f t="shared" ref="C4:C21" si="0">B4+ROW()/10000000</f>
        <v>12889.890000400001</v>
      </c>
    </row>
    <row r="5" spans="1:3" x14ac:dyDescent="0.25">
      <c r="A5" s="11" t="s">
        <v>106</v>
      </c>
      <c r="B5" s="12">
        <f>SUMIF('Cleaned Data'!$F$2:$F$320,A5,'Cleaned Data'!$G$2:$G$320)</f>
        <v>28429.83</v>
      </c>
      <c r="C5" s="13">
        <f t="shared" si="0"/>
        <v>28429.830000500002</v>
      </c>
    </row>
    <row r="6" spans="1:3" x14ac:dyDescent="0.25">
      <c r="A6" s="11" t="s">
        <v>51</v>
      </c>
      <c r="B6" s="12">
        <f>SUMIF('Cleaned Data'!$F$2:$F$320,A6,'Cleaned Data'!$G$2:$G$320)</f>
        <v>3349.24</v>
      </c>
      <c r="C6" s="13">
        <f t="shared" si="0"/>
        <v>3349.2400005999998</v>
      </c>
    </row>
    <row r="7" spans="1:3" x14ac:dyDescent="0.25">
      <c r="A7" s="11" t="s">
        <v>114</v>
      </c>
      <c r="B7" s="12">
        <f>SUMIF('Cleaned Data'!$F$2:$F$320,A7,'Cleaned Data'!$G$2:$G$320)</f>
        <v>24391.890000000007</v>
      </c>
      <c r="C7" s="13">
        <f t="shared" si="0"/>
        <v>24391.890000700008</v>
      </c>
    </row>
    <row r="8" spans="1:3" x14ac:dyDescent="0.25">
      <c r="A8" s="11" t="s">
        <v>46</v>
      </c>
      <c r="B8" s="12">
        <f>SUMIF('Cleaned Data'!$F$2:$F$320,A8,'Cleaned Data'!$G$2:$G$320)</f>
        <v>7174.2</v>
      </c>
      <c r="C8" s="13">
        <f t="shared" si="0"/>
        <v>7174.2000007999995</v>
      </c>
    </row>
    <row r="9" spans="1:3" x14ac:dyDescent="0.25">
      <c r="A9" s="11" t="s">
        <v>35</v>
      </c>
      <c r="B9" s="12">
        <f>SUMIF('Cleaned Data'!$F$2:$F$320,A9,'Cleaned Data'!$G$2:$G$320)</f>
        <v>18627.8</v>
      </c>
      <c r="C9" s="13">
        <f t="shared" si="0"/>
        <v>18627.800000899999</v>
      </c>
    </row>
    <row r="10" spans="1:3" x14ac:dyDescent="0.25">
      <c r="A10" s="11" t="s">
        <v>20</v>
      </c>
      <c r="B10" s="12">
        <f>SUMIF('Cleaned Data'!$F$2:$F$320,A10,'Cleaned Data'!$G$2:$G$320)</f>
        <v>2566.21</v>
      </c>
      <c r="C10" s="13">
        <f t="shared" si="0"/>
        <v>2566.2100009999999</v>
      </c>
    </row>
    <row r="11" spans="1:3" x14ac:dyDescent="0.25">
      <c r="A11" s="11" t="s">
        <v>43</v>
      </c>
      <c r="B11" s="12">
        <f>SUMIF('Cleaned Data'!$F$2:$F$320,A11,'Cleaned Data'!$G$2:$G$320)</f>
        <v>36010.99</v>
      </c>
      <c r="C11" s="13">
        <f t="shared" si="0"/>
        <v>36010.990001099999</v>
      </c>
    </row>
    <row r="12" spans="1:3" x14ac:dyDescent="0.25">
      <c r="A12" s="11" t="s">
        <v>485</v>
      </c>
      <c r="B12" s="12">
        <f>SUMIF('Cleaned Data'!$F$2:$F$320,A12,'Cleaned Data'!$G$2:$G$320)</f>
        <v>311.89999999999998</v>
      </c>
      <c r="C12" s="13">
        <f t="shared" si="0"/>
        <v>311.90000119999996</v>
      </c>
    </row>
    <row r="13" spans="1:3" x14ac:dyDescent="0.25">
      <c r="A13" s="11" t="s">
        <v>80</v>
      </c>
      <c r="B13" s="12">
        <f>SUMIF('Cleaned Data'!$F$2:$F$320,A13,'Cleaned Data'!$G$2:$G$320)</f>
        <v>3195.2</v>
      </c>
      <c r="C13" s="13">
        <f t="shared" si="0"/>
        <v>3195.2000012999997</v>
      </c>
    </row>
    <row r="14" spans="1:3" x14ac:dyDescent="0.25">
      <c r="A14" s="11" t="s">
        <v>28</v>
      </c>
      <c r="B14" s="12">
        <f>SUMIF('Cleaned Data'!$F$2:$F$320,A14,'Cleaned Data'!$G$2:$G$320)</f>
        <v>31308.799999999999</v>
      </c>
      <c r="C14" s="13">
        <f t="shared" si="0"/>
        <v>31308.800001399999</v>
      </c>
    </row>
    <row r="15" spans="1:3" x14ac:dyDescent="0.25">
      <c r="A15" s="11" t="s">
        <v>54</v>
      </c>
      <c r="B15" s="12">
        <f>SUMIF('Cleaned Data'!$F$2:$F$320,A15,'Cleaned Data'!$G$2:$G$320)</f>
        <v>3891.8900000000003</v>
      </c>
      <c r="C15" s="13">
        <f t="shared" si="0"/>
        <v>3891.8900015000004</v>
      </c>
    </row>
    <row r="16" spans="1:3" x14ac:dyDescent="0.25">
      <c r="A16" s="11" t="s">
        <v>14</v>
      </c>
      <c r="B16" s="12">
        <f>SUMIF('Cleaned Data'!$F$2:$F$320,A16,'Cleaned Data'!$G$2:$G$320)</f>
        <v>3119.06</v>
      </c>
      <c r="C16" s="13">
        <f t="shared" si="0"/>
        <v>3119.0600015999999</v>
      </c>
    </row>
    <row r="17" spans="1:3" x14ac:dyDescent="0.25">
      <c r="A17" s="11" t="s">
        <v>66</v>
      </c>
      <c r="B17" s="12">
        <f>SUMIF('Cleaned Data'!$F$2:$F$320,A17,'Cleaned Data'!$G$2:$G$320)</f>
        <v>32954.080000000002</v>
      </c>
      <c r="C17" s="13">
        <f t="shared" si="0"/>
        <v>32954.0800017</v>
      </c>
    </row>
    <row r="18" spans="1:3" x14ac:dyDescent="0.25">
      <c r="A18" s="11" t="s">
        <v>198</v>
      </c>
      <c r="B18" s="12">
        <f>SUMIF('Cleaned Data'!$F$2:$F$320,A18,'Cleaned Data'!$G$2:$G$320)</f>
        <v>436.48</v>
      </c>
      <c r="C18" s="13">
        <f t="shared" si="0"/>
        <v>436.48000180000003</v>
      </c>
    </row>
    <row r="19" spans="1:3" x14ac:dyDescent="0.25">
      <c r="A19" s="11" t="s">
        <v>71</v>
      </c>
      <c r="B19" s="12">
        <f>SUMIF('Cleaned Data'!$F$2:$F$320,A19,'Cleaned Data'!$G$2:$G$320)</f>
        <v>18789.009999999998</v>
      </c>
      <c r="C19" s="13">
        <f t="shared" si="0"/>
        <v>18789.010001899998</v>
      </c>
    </row>
    <row r="20" spans="1:3" x14ac:dyDescent="0.25">
      <c r="A20" s="11" t="s">
        <v>24</v>
      </c>
      <c r="B20" s="12">
        <f>SUMIF('Cleaned Data'!$F$2:$F$320,A20,'Cleaned Data'!$G$2:$G$320)</f>
        <v>19134.259999999995</v>
      </c>
      <c r="C20" s="13">
        <f t="shared" si="0"/>
        <v>19134.260001999995</v>
      </c>
    </row>
    <row r="21" spans="1:3" x14ac:dyDescent="0.25">
      <c r="A21" s="11" t="s">
        <v>59</v>
      </c>
      <c r="B21" s="12">
        <f>SUMIF('Cleaned Data'!$F$2:$F$320,A21,'Cleaned Data'!$G$2:$G$320)</f>
        <v>16693.650000000001</v>
      </c>
      <c r="C21" s="13">
        <f t="shared" si="0"/>
        <v>16693.650002100003</v>
      </c>
    </row>
    <row r="23" spans="1:3" x14ac:dyDescent="0.25">
      <c r="A23" s="14" t="s">
        <v>600</v>
      </c>
    </row>
    <row r="24" spans="1:3" x14ac:dyDescent="0.25">
      <c r="A24" s="1" t="s">
        <v>598</v>
      </c>
      <c r="B24" s="1" t="s">
        <v>5</v>
      </c>
      <c r="C24" s="1" t="s">
        <v>573</v>
      </c>
    </row>
    <row r="25" spans="1:3" x14ac:dyDescent="0.25">
      <c r="A25" s="2">
        <v>1</v>
      </c>
      <c r="B25" s="2" t="str">
        <f>INDEX($A$4:$A$21,MATCH(LARGE($C$4:$C$21,1),$C$4:$C$21,0))</f>
        <v>Office Chair</v>
      </c>
      <c r="C25" s="8">
        <f>INDEX($B$4:$B$21,MATCH(LARGE($C$4:$C$21,1),$C$4:$C$21,0))</f>
        <v>36010.99</v>
      </c>
    </row>
    <row r="26" spans="1:3" x14ac:dyDescent="0.25">
      <c r="A26" s="2">
        <v>2</v>
      </c>
      <c r="B26" s="2" t="str">
        <f>INDEX($A$4:$A$21,MATCH(LARGE($C$4:$C$21,2),$C$4:$C$21,0))</f>
        <v>Study Table</v>
      </c>
      <c r="C26" s="8">
        <f>INDEX($B$4:$B$21,MATCH(LARGE($C$4:$C$21,2),$C$4:$C$21,0))</f>
        <v>32954.080000000002</v>
      </c>
    </row>
    <row r="27" spans="1:3" x14ac:dyDescent="0.25">
      <c r="A27" s="2">
        <v>3</v>
      </c>
      <c r="B27" s="2" t="str">
        <f>INDEX($A$4:$A$21,MATCH(LARGE($C$4:$C$21,3),$C$4:$C$21,0))</f>
        <v>Sofa Set</v>
      </c>
      <c r="C27" s="8">
        <f>INDEX($B$4:$B$21,MATCH(LARGE($C$4:$C$21,3),$C$4:$C$21,0))</f>
        <v>31308.799999999999</v>
      </c>
    </row>
    <row r="28" spans="1:3" x14ac:dyDescent="0.25">
      <c r="A28" s="2">
        <v>4</v>
      </c>
      <c r="B28" s="2" t="str">
        <f>INDEX($A$4:$A$21,MATCH(LARGE($C$4:$C$21,4),$C$4:$C$21,0))</f>
        <v>Bookcase</v>
      </c>
      <c r="C28" s="8">
        <f>INDEX($B$4:$B$21,MATCH(LARGE($C$4:$C$21,4),$C$4:$C$21,0))</f>
        <v>28429.83</v>
      </c>
    </row>
    <row r="29" spans="1:3" x14ac:dyDescent="0.25">
      <c r="A29" s="2">
        <v>5</v>
      </c>
      <c r="B29" s="2" t="str">
        <f>INDEX($A$4:$A$21,MATCH(LARGE($C$4:$C$21,5),$C$4:$C$21,0))</f>
        <v>Filing Cabinet</v>
      </c>
      <c r="C29" s="8">
        <f>INDEX($B$4:$B$21,MATCH(LARGE($C$4:$C$21,5),$C$4:$C$21,0))</f>
        <v>24391.890000000007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Summary Metrics</vt:lpstr>
      <vt:lpstr>Sales by Region</vt:lpstr>
      <vt:lpstr>Profit by Category</vt:lpstr>
      <vt:lpstr>Sales by Month</vt:lpstr>
      <vt:lpstr>Top 10 Customers</vt:lpstr>
      <vt:lpstr>Top 5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AKASH V H</cp:lastModifiedBy>
  <cp:revision>0</cp:revision>
  <dcterms:created xsi:type="dcterms:W3CDTF">2026-06-20T08:48:47Z</dcterms:created>
  <dcterms:modified xsi:type="dcterms:W3CDTF">2026-06-26T04:51:46Z</dcterms:modified>
  <dc:language>en-US</dc:language>
</cp:coreProperties>
</file>